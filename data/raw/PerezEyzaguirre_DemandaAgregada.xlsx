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54A4D972-00AD-4E82-8CA8-43FCD1F4822B}" xr6:coauthVersionLast="47" xr6:coauthVersionMax="47" xr10:uidLastSave="{00000000-0000-0000-0000-000000000000}"/>
  <bookViews>
    <workbookView xWindow="900" yWindow="2985" windowWidth="21600" windowHeight="11235" xr2:uid="{C1DDA6C9-9D92-4EAF-A28C-963D966D2A07}"/>
  </bookViews>
  <sheets>
    <sheet name="Demanda Agregad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2" i="1" l="1"/>
  <c r="E152" i="1"/>
  <c r="B152" i="1"/>
  <c r="K151" i="1"/>
  <c r="E151" i="1"/>
  <c r="B151" i="1"/>
  <c r="K150" i="1"/>
  <c r="E150" i="1"/>
  <c r="B150" i="1"/>
  <c r="K149" i="1"/>
  <c r="E149" i="1"/>
  <c r="B149" i="1"/>
  <c r="K148" i="1"/>
  <c r="E148" i="1"/>
  <c r="B148" i="1"/>
  <c r="K147" i="1"/>
  <c r="E147" i="1"/>
  <c r="B147" i="1"/>
  <c r="K146" i="1"/>
  <c r="E146" i="1"/>
  <c r="B146" i="1"/>
  <c r="K145" i="1"/>
  <c r="E145" i="1"/>
  <c r="B145" i="1"/>
  <c r="K144" i="1"/>
  <c r="E144" i="1"/>
  <c r="B144" i="1"/>
  <c r="K143" i="1"/>
  <c r="E143" i="1"/>
  <c r="B143" i="1"/>
  <c r="K142" i="1"/>
  <c r="E142" i="1"/>
  <c r="B142" i="1"/>
  <c r="K141" i="1"/>
  <c r="E141" i="1"/>
  <c r="B141" i="1"/>
  <c r="K140" i="1"/>
  <c r="E140" i="1"/>
  <c r="B140" i="1"/>
  <c r="K139" i="1"/>
  <c r="E139" i="1"/>
  <c r="B139" i="1"/>
  <c r="K138" i="1"/>
  <c r="E138" i="1"/>
  <c r="B138" i="1"/>
  <c r="K137" i="1"/>
  <c r="E137" i="1"/>
  <c r="B137" i="1"/>
  <c r="K136" i="1"/>
  <c r="E136" i="1"/>
  <c r="B136" i="1"/>
  <c r="K135" i="1"/>
  <c r="E135" i="1"/>
  <c r="B135" i="1"/>
  <c r="K134" i="1"/>
  <c r="E134" i="1"/>
  <c r="B134" i="1"/>
  <c r="K133" i="1"/>
  <c r="E133" i="1"/>
  <c r="B133" i="1"/>
  <c r="K132" i="1"/>
  <c r="E132" i="1"/>
  <c r="B132" i="1"/>
  <c r="K131" i="1"/>
  <c r="E131" i="1"/>
  <c r="B131" i="1"/>
  <c r="K130" i="1"/>
  <c r="E130" i="1"/>
  <c r="B130" i="1"/>
  <c r="K129" i="1"/>
  <c r="E129" i="1"/>
  <c r="B129" i="1"/>
  <c r="K128" i="1"/>
  <c r="E128" i="1"/>
  <c r="B128" i="1"/>
  <c r="K127" i="1"/>
  <c r="E127" i="1"/>
  <c r="B127" i="1"/>
  <c r="K126" i="1"/>
  <c r="E126" i="1"/>
  <c r="B126" i="1"/>
  <c r="K125" i="1"/>
  <c r="E125" i="1"/>
  <c r="B125" i="1"/>
  <c r="K124" i="1"/>
  <c r="E124" i="1"/>
  <c r="B124" i="1"/>
  <c r="K123" i="1"/>
  <c r="E123" i="1"/>
  <c r="B123" i="1"/>
  <c r="K122" i="1"/>
  <c r="E122" i="1"/>
  <c r="B122" i="1"/>
  <c r="K121" i="1"/>
  <c r="E121" i="1"/>
  <c r="B121" i="1"/>
  <c r="K120" i="1"/>
  <c r="E120" i="1"/>
  <c r="B120" i="1"/>
  <c r="K119" i="1"/>
  <c r="E119" i="1"/>
  <c r="B119" i="1"/>
  <c r="K118" i="1"/>
  <c r="E118" i="1"/>
  <c r="B118" i="1"/>
  <c r="K117" i="1"/>
  <c r="E117" i="1"/>
  <c r="B117" i="1"/>
  <c r="K116" i="1"/>
  <c r="E116" i="1"/>
  <c r="B116" i="1"/>
  <c r="K115" i="1"/>
  <c r="E115" i="1"/>
  <c r="B115" i="1"/>
  <c r="K114" i="1"/>
  <c r="E114" i="1"/>
  <c r="B114" i="1"/>
  <c r="K113" i="1"/>
  <c r="E113" i="1"/>
  <c r="B113" i="1"/>
  <c r="K112" i="1"/>
  <c r="E112" i="1"/>
  <c r="B112" i="1"/>
  <c r="K111" i="1"/>
  <c r="E111" i="1"/>
  <c r="B111" i="1"/>
  <c r="K110" i="1"/>
  <c r="E110" i="1"/>
  <c r="B110" i="1"/>
  <c r="K109" i="1"/>
  <c r="E109" i="1"/>
  <c r="B109" i="1"/>
  <c r="K108" i="1"/>
  <c r="E108" i="1"/>
  <c r="B108" i="1"/>
  <c r="K107" i="1"/>
  <c r="E107" i="1"/>
  <c r="B107" i="1"/>
  <c r="K106" i="1"/>
  <c r="E106" i="1"/>
  <c r="B106" i="1"/>
  <c r="K105" i="1"/>
  <c r="E105" i="1"/>
  <c r="B105" i="1"/>
  <c r="K104" i="1"/>
  <c r="E104" i="1"/>
  <c r="B104" i="1"/>
  <c r="K103" i="1"/>
  <c r="E103" i="1"/>
  <c r="B103" i="1"/>
  <c r="K102" i="1"/>
  <c r="E102" i="1"/>
  <c r="B102" i="1"/>
  <c r="K101" i="1"/>
  <c r="E101" i="1"/>
  <c r="B101" i="1"/>
  <c r="K100" i="1"/>
  <c r="E100" i="1"/>
  <c r="B100" i="1"/>
  <c r="K99" i="1"/>
  <c r="E99" i="1"/>
  <c r="B99" i="1"/>
  <c r="K98" i="1"/>
  <c r="E98" i="1"/>
  <c r="B98" i="1"/>
  <c r="K97" i="1"/>
  <c r="E97" i="1"/>
  <c r="B97" i="1"/>
  <c r="K96" i="1"/>
  <c r="E96" i="1"/>
  <c r="B96" i="1"/>
  <c r="K95" i="1"/>
  <c r="E95" i="1"/>
  <c r="B95" i="1"/>
  <c r="K94" i="1"/>
  <c r="E94" i="1"/>
  <c r="B94" i="1"/>
  <c r="K93" i="1"/>
  <c r="E93" i="1"/>
  <c r="B93" i="1"/>
  <c r="K92" i="1"/>
  <c r="E92" i="1"/>
  <c r="B92" i="1"/>
  <c r="K91" i="1"/>
  <c r="E91" i="1"/>
  <c r="B91" i="1"/>
  <c r="K90" i="1"/>
  <c r="E90" i="1"/>
  <c r="B90" i="1"/>
  <c r="K89" i="1"/>
  <c r="E89" i="1"/>
  <c r="B89" i="1"/>
  <c r="K88" i="1"/>
  <c r="E88" i="1"/>
  <c r="B88" i="1"/>
  <c r="K87" i="1"/>
  <c r="E87" i="1"/>
  <c r="B87" i="1"/>
  <c r="K86" i="1"/>
  <c r="E86" i="1"/>
  <c r="B86" i="1"/>
  <c r="K85" i="1"/>
  <c r="E85" i="1"/>
  <c r="B85" i="1"/>
  <c r="K84" i="1"/>
  <c r="E84" i="1"/>
  <c r="B84" i="1"/>
  <c r="K83" i="1"/>
  <c r="E83" i="1"/>
  <c r="B83" i="1"/>
  <c r="K82" i="1"/>
  <c r="E82" i="1"/>
  <c r="B82" i="1"/>
  <c r="K81" i="1"/>
  <c r="I81" i="1"/>
  <c r="E81" i="1"/>
  <c r="B81" i="1"/>
  <c r="K80" i="1"/>
  <c r="I80" i="1"/>
  <c r="E80" i="1"/>
  <c r="B80" i="1"/>
  <c r="K79" i="1"/>
  <c r="I79" i="1"/>
  <c r="E79" i="1"/>
  <c r="B79" i="1"/>
  <c r="K78" i="1"/>
  <c r="I78" i="1"/>
  <c r="E78" i="1"/>
  <c r="B78" i="1"/>
  <c r="I77" i="1"/>
  <c r="E77" i="1"/>
  <c r="K77" i="1" s="1"/>
  <c r="B77" i="1"/>
  <c r="I76" i="1"/>
  <c r="K76" i="1" s="1"/>
  <c r="E76" i="1"/>
  <c r="B76" i="1"/>
  <c r="K75" i="1"/>
  <c r="I75" i="1"/>
  <c r="E75" i="1"/>
  <c r="B75" i="1"/>
  <c r="I74" i="1"/>
  <c r="E74" i="1"/>
  <c r="K74" i="1" s="1"/>
  <c r="B74" i="1"/>
  <c r="K73" i="1"/>
  <c r="I73" i="1"/>
  <c r="E73" i="1"/>
  <c r="B73" i="1"/>
  <c r="K72" i="1"/>
  <c r="I72" i="1"/>
  <c r="E72" i="1"/>
  <c r="B72" i="1"/>
  <c r="I71" i="1"/>
  <c r="E71" i="1"/>
  <c r="K71" i="1" s="1"/>
  <c r="B71" i="1"/>
  <c r="K70" i="1"/>
  <c r="I70" i="1"/>
  <c r="E70" i="1"/>
  <c r="B70" i="1"/>
  <c r="K69" i="1"/>
  <c r="I69" i="1"/>
  <c r="E69" i="1"/>
  <c r="B69" i="1"/>
  <c r="I68" i="1"/>
  <c r="E68" i="1"/>
  <c r="K68" i="1" s="1"/>
  <c r="B68" i="1"/>
  <c r="K67" i="1"/>
  <c r="I67" i="1"/>
  <c r="E67" i="1"/>
  <c r="B67" i="1"/>
  <c r="K66" i="1"/>
  <c r="I66" i="1"/>
  <c r="E66" i="1"/>
  <c r="B66" i="1"/>
  <c r="I65" i="1"/>
  <c r="E65" i="1"/>
  <c r="K65" i="1" s="1"/>
  <c r="B65" i="1"/>
  <c r="K64" i="1"/>
  <c r="I64" i="1"/>
  <c r="E64" i="1"/>
  <c r="B64" i="1"/>
  <c r="K63" i="1"/>
  <c r="I63" i="1"/>
  <c r="E63" i="1"/>
  <c r="B63" i="1"/>
  <c r="I62" i="1"/>
  <c r="E62" i="1"/>
  <c r="K62" i="1" s="1"/>
  <c r="B62" i="1"/>
  <c r="K61" i="1"/>
  <c r="I61" i="1"/>
  <c r="E61" i="1"/>
  <c r="B61" i="1"/>
  <c r="K60" i="1"/>
  <c r="I60" i="1"/>
  <c r="E60" i="1"/>
  <c r="B60" i="1"/>
  <c r="K59" i="1"/>
  <c r="I59" i="1"/>
  <c r="E59" i="1"/>
  <c r="B59" i="1"/>
  <c r="K58" i="1"/>
  <c r="I58" i="1"/>
  <c r="E58" i="1"/>
  <c r="B58" i="1"/>
  <c r="K57" i="1"/>
  <c r="I57" i="1"/>
  <c r="E57" i="1"/>
  <c r="B57" i="1"/>
  <c r="K56" i="1"/>
  <c r="I56" i="1"/>
  <c r="E56" i="1"/>
  <c r="B56" i="1"/>
  <c r="K55" i="1"/>
  <c r="I55" i="1"/>
  <c r="E55" i="1"/>
  <c r="B55" i="1"/>
  <c r="K54" i="1"/>
  <c r="I54" i="1"/>
  <c r="E54" i="1"/>
  <c r="B54" i="1"/>
  <c r="K53" i="1"/>
  <c r="I53" i="1"/>
  <c r="E53" i="1"/>
  <c r="B53" i="1"/>
  <c r="K52" i="1"/>
  <c r="I52" i="1"/>
  <c r="E52" i="1"/>
  <c r="B52" i="1"/>
  <c r="K51" i="1"/>
  <c r="I51" i="1"/>
  <c r="E51" i="1"/>
  <c r="B51" i="1"/>
  <c r="K50" i="1"/>
  <c r="I50" i="1"/>
  <c r="E50" i="1"/>
  <c r="B50" i="1"/>
  <c r="K49" i="1"/>
  <c r="I49" i="1"/>
  <c r="E49" i="1"/>
  <c r="B49" i="1"/>
  <c r="K48" i="1"/>
  <c r="I48" i="1"/>
  <c r="E48" i="1"/>
  <c r="B48" i="1"/>
  <c r="K47" i="1"/>
  <c r="I47" i="1"/>
  <c r="E47" i="1"/>
  <c r="B47" i="1"/>
  <c r="K46" i="1"/>
  <c r="I46" i="1"/>
  <c r="E46" i="1"/>
  <c r="B46" i="1"/>
  <c r="K45" i="1"/>
  <c r="I45" i="1"/>
  <c r="E45" i="1"/>
  <c r="B45" i="1"/>
  <c r="K44" i="1"/>
  <c r="I44" i="1"/>
  <c r="E44" i="1"/>
  <c r="B44" i="1"/>
  <c r="K43" i="1"/>
  <c r="I43" i="1"/>
  <c r="E43" i="1"/>
  <c r="B43" i="1"/>
  <c r="K42" i="1"/>
  <c r="I42" i="1"/>
  <c r="E42" i="1"/>
  <c r="B42" i="1"/>
  <c r="K41" i="1"/>
  <c r="I41" i="1"/>
  <c r="E41" i="1"/>
  <c r="B41" i="1"/>
  <c r="K40" i="1"/>
  <c r="I40" i="1"/>
  <c r="E40" i="1"/>
  <c r="B40" i="1"/>
  <c r="K39" i="1"/>
  <c r="I39" i="1"/>
  <c r="E39" i="1"/>
  <c r="B39" i="1"/>
  <c r="K38" i="1"/>
  <c r="I38" i="1"/>
  <c r="E38" i="1"/>
  <c r="B38" i="1"/>
  <c r="K37" i="1"/>
  <c r="I37" i="1"/>
  <c r="E37" i="1"/>
  <c r="B37" i="1"/>
  <c r="K36" i="1"/>
  <c r="I36" i="1"/>
  <c r="E36" i="1"/>
  <c r="B36" i="1"/>
  <c r="K35" i="1"/>
  <c r="I35" i="1"/>
  <c r="E35" i="1"/>
  <c r="B35" i="1"/>
  <c r="K34" i="1"/>
  <c r="I34" i="1"/>
  <c r="E34" i="1"/>
  <c r="B34" i="1"/>
  <c r="K33" i="1"/>
  <c r="I33" i="1"/>
  <c r="E33" i="1"/>
  <c r="B33" i="1"/>
  <c r="K32" i="1"/>
  <c r="I32" i="1"/>
  <c r="E32" i="1"/>
  <c r="B32" i="1"/>
  <c r="K31" i="1"/>
  <c r="I31" i="1"/>
  <c r="E31" i="1"/>
  <c r="B31" i="1"/>
  <c r="K30" i="1"/>
  <c r="I30" i="1"/>
  <c r="E30" i="1"/>
  <c r="B30" i="1"/>
  <c r="K29" i="1"/>
  <c r="I29" i="1"/>
  <c r="E29" i="1"/>
  <c r="B29" i="1"/>
  <c r="K28" i="1"/>
  <c r="I28" i="1"/>
  <c r="E28" i="1"/>
  <c r="B28" i="1"/>
  <c r="K27" i="1"/>
  <c r="I27" i="1"/>
  <c r="E27" i="1"/>
  <c r="B27" i="1"/>
  <c r="K26" i="1"/>
  <c r="I26" i="1"/>
  <c r="E26" i="1"/>
  <c r="B26" i="1"/>
  <c r="K25" i="1"/>
  <c r="I25" i="1"/>
  <c r="E25" i="1"/>
  <c r="B25" i="1"/>
  <c r="K24" i="1"/>
  <c r="I24" i="1"/>
  <c r="E24" i="1"/>
  <c r="B24" i="1"/>
  <c r="K23" i="1"/>
  <c r="I23" i="1"/>
  <c r="E23" i="1"/>
  <c r="B23" i="1"/>
  <c r="K22" i="1"/>
  <c r="I22" i="1"/>
  <c r="E22" i="1"/>
  <c r="B22" i="1"/>
  <c r="K21" i="1"/>
  <c r="I21" i="1"/>
  <c r="E21" i="1"/>
  <c r="B21" i="1"/>
  <c r="K20" i="1"/>
  <c r="I20" i="1"/>
  <c r="E20" i="1"/>
  <c r="B20" i="1"/>
  <c r="K19" i="1"/>
  <c r="I19" i="1"/>
  <c r="E19" i="1"/>
  <c r="B19" i="1"/>
  <c r="K18" i="1"/>
  <c r="I18" i="1"/>
  <c r="E18" i="1"/>
  <c r="B18" i="1"/>
  <c r="K17" i="1"/>
  <c r="I17" i="1"/>
  <c r="E17" i="1"/>
  <c r="B17" i="1"/>
  <c r="K16" i="1"/>
  <c r="I16" i="1"/>
  <c r="E16" i="1"/>
  <c r="B16" i="1"/>
  <c r="K15" i="1"/>
  <c r="I15" i="1"/>
  <c r="E15" i="1"/>
  <c r="B15" i="1"/>
  <c r="K14" i="1"/>
  <c r="I14" i="1"/>
  <c r="E14" i="1"/>
  <c r="B14" i="1"/>
  <c r="K13" i="1"/>
  <c r="I13" i="1"/>
  <c r="E13" i="1"/>
  <c r="B13" i="1"/>
  <c r="K12" i="1"/>
  <c r="I12" i="1"/>
  <c r="E12" i="1"/>
  <c r="B12" i="1"/>
  <c r="K11" i="1"/>
  <c r="I11" i="1"/>
  <c r="E11" i="1"/>
  <c r="B11" i="1"/>
  <c r="K10" i="1"/>
  <c r="I10" i="1"/>
  <c r="E10" i="1"/>
  <c r="B10" i="1"/>
  <c r="K9" i="1"/>
  <c r="I9" i="1"/>
  <c r="E9" i="1"/>
  <c r="B9" i="1"/>
  <c r="K8" i="1"/>
  <c r="I8" i="1"/>
  <c r="E8" i="1"/>
  <c r="B8" i="1"/>
  <c r="K7" i="1"/>
  <c r="I7" i="1"/>
  <c r="E7" i="1"/>
  <c r="B7" i="1"/>
  <c r="K6" i="1"/>
  <c r="I6" i="1"/>
  <c r="E6" i="1"/>
  <c r="B6" i="1"/>
  <c r="K5" i="1"/>
  <c r="I5" i="1"/>
  <c r="E5" i="1"/>
  <c r="B5" i="1"/>
  <c r="K4" i="1"/>
  <c r="I4" i="1"/>
  <c r="E4" i="1"/>
  <c r="B4" i="1"/>
  <c r="K3" i="1"/>
  <c r="I3" i="1"/>
  <c r="E3" i="1"/>
  <c r="B3" i="1"/>
  <c r="K2" i="1"/>
  <c r="I2" i="1"/>
  <c r="E2" i="1"/>
  <c r="B2" i="1"/>
</calcChain>
</file>

<file path=xl/sharedStrings.xml><?xml version="1.0" encoding="utf-8"?>
<sst xmlns="http://schemas.openxmlformats.org/spreadsheetml/2006/main" count="10" uniqueCount="10">
  <si>
    <t>PIB Real (milllones de pesos de 2003)</t>
  </si>
  <si>
    <t>Exportaciones FOB (millones de pesos de 2003)</t>
  </si>
  <si>
    <t>Importaciones CIF (millones de pesos de 2003)</t>
  </si>
  <si>
    <t>Exportaciones netas</t>
  </si>
  <si>
    <t>FBKF en maquinaria</t>
  </si>
  <si>
    <t>FBKF en construcción</t>
  </si>
  <si>
    <t>Variación de inventarios</t>
  </si>
  <si>
    <t>Inversión Interna Bruta</t>
  </si>
  <si>
    <t>Consumo del Gobierno</t>
  </si>
  <si>
    <t>Consumo privado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</si>
</sst>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0_ ;_ * \-#,##0.000_ ;_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2" fillId="0" borderId="0" xfId="1" applyNumberFormat="1" applyFont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1" fontId="4" fillId="7" borderId="2" xfId="0" applyNumberFormat="1" applyFont="1" applyFill="1" applyBorder="1"/>
    <xf numFmtId="41" fontId="2" fillId="0" borderId="3" xfId="0" applyNumberFormat="1" applyFont="1" applyBorder="1"/>
    <xf numFmtId="41" fontId="2" fillId="0" borderId="4" xfId="0" applyNumberFormat="1" applyFont="1" applyBorder="1"/>
    <xf numFmtId="41" fontId="2" fillId="0" borderId="2" xfId="0" applyNumberFormat="1" applyFont="1" applyBorder="1"/>
    <xf numFmtId="10" fontId="0" fillId="0" borderId="0" xfId="2" applyNumberFormat="1" applyFont="1"/>
    <xf numFmtId="41" fontId="0" fillId="0" borderId="0" xfId="0" applyNumberFormat="1"/>
    <xf numFmtId="41" fontId="2" fillId="0" borderId="5" xfId="0" applyNumberFormat="1" applyFont="1" applyBorder="1"/>
    <xf numFmtId="41" fontId="2" fillId="0" borderId="6" xfId="0" applyNumberFormat="1" applyFont="1" applyBorder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_hardrive\data_sources_PhdThesis\ChileData\NachoPerez\Data%20Chile%201860-2010.xlsx" TargetMode="External"/><Relationship Id="rId1" Type="http://schemas.openxmlformats.org/officeDocument/2006/relationships/externalLinkPath" Target="/data_hardrive/data_sources_PhdThesis/ChileData/NachoPerez/Data%20Chile%201860-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ción"/>
      <sheetName val="Demanda Agregada"/>
      <sheetName val="Precios"/>
      <sheetName val="Monetarias"/>
      <sheetName val="Ctas. Fiscales"/>
      <sheetName val="Población"/>
    </sheetNames>
    <sheetDataSet>
      <sheetData sheetId="0">
        <row r="2">
          <cell r="O2">
            <v>554064.16231788439</v>
          </cell>
        </row>
        <row r="3">
          <cell r="O3">
            <v>560876.78696106642</v>
          </cell>
        </row>
        <row r="4">
          <cell r="O4">
            <v>566004.834732463</v>
          </cell>
        </row>
        <row r="5">
          <cell r="O5">
            <v>601499.32581357937</v>
          </cell>
        </row>
        <row r="6">
          <cell r="O6">
            <v>635783.91151894326</v>
          </cell>
        </row>
        <row r="7">
          <cell r="O7">
            <v>653236.15052295628</v>
          </cell>
        </row>
        <row r="8">
          <cell r="O8">
            <v>656390.83837569575</v>
          </cell>
        </row>
        <row r="9">
          <cell r="O9">
            <v>685354.18323916465</v>
          </cell>
        </row>
        <row r="10">
          <cell r="O10">
            <v>722845.63063659961</v>
          </cell>
        </row>
        <row r="11">
          <cell r="O11">
            <v>774881.43038827833</v>
          </cell>
        </row>
        <row r="12">
          <cell r="O12">
            <v>776194.08699593297</v>
          </cell>
        </row>
        <row r="13">
          <cell r="O13">
            <v>812288.83610011812</v>
          </cell>
        </row>
        <row r="14">
          <cell r="O14">
            <v>854654.78715074202</v>
          </cell>
        </row>
        <row r="15">
          <cell r="O15">
            <v>932608.59806761891</v>
          </cell>
        </row>
        <row r="16">
          <cell r="O16">
            <v>929970.63823356002</v>
          </cell>
        </row>
        <row r="17">
          <cell r="O17">
            <v>966440.3375124333</v>
          </cell>
        </row>
        <row r="18">
          <cell r="O18">
            <v>973694.05918838398</v>
          </cell>
        </row>
        <row r="19">
          <cell r="O19">
            <v>945075.34159133595</v>
          </cell>
        </row>
        <row r="20">
          <cell r="O20">
            <v>949744.42641731841</v>
          </cell>
        </row>
        <row r="21">
          <cell r="O21">
            <v>972516.13670052728</v>
          </cell>
        </row>
        <row r="22">
          <cell r="O22">
            <v>1056508.9320095417</v>
          </cell>
        </row>
        <row r="23">
          <cell r="O23">
            <v>1169526.5428144478</v>
          </cell>
        </row>
        <row r="24">
          <cell r="O24">
            <v>1278085.5079531504</v>
          </cell>
        </row>
        <row r="25">
          <cell r="O25">
            <v>1349590.127306913</v>
          </cell>
        </row>
        <row r="26">
          <cell r="O26">
            <v>1381579.6982055276</v>
          </cell>
        </row>
        <row r="27">
          <cell r="O27">
            <v>1356731.1589218492</v>
          </cell>
        </row>
        <row r="28">
          <cell r="O28">
            <v>1408140.6622885866</v>
          </cell>
        </row>
        <row r="29">
          <cell r="O29">
            <v>1485951.9163368992</v>
          </cell>
        </row>
        <row r="30">
          <cell r="O30">
            <v>1524662.5129346866</v>
          </cell>
        </row>
        <row r="31">
          <cell r="O31">
            <v>1601555.6664536635</v>
          </cell>
        </row>
        <row r="32">
          <cell r="O32">
            <v>1748733.5497860208</v>
          </cell>
        </row>
        <row r="33">
          <cell r="O33">
            <v>1651101.424741921</v>
          </cell>
        </row>
        <row r="34">
          <cell r="O34">
            <v>1693398.6119113408</v>
          </cell>
        </row>
        <row r="35">
          <cell r="O35">
            <v>1740270.8990571147</v>
          </cell>
        </row>
        <row r="36">
          <cell r="O36">
            <v>1768348.6486034663</v>
          </cell>
        </row>
        <row r="37">
          <cell r="O37">
            <v>1881718.0203570977</v>
          </cell>
        </row>
        <row r="38">
          <cell r="O38">
            <v>1984164.6927623716</v>
          </cell>
        </row>
        <row r="39">
          <cell r="O39">
            <v>1908292.9632570061</v>
          </cell>
        </row>
        <row r="40">
          <cell r="O40">
            <v>1963520.8667779979</v>
          </cell>
        </row>
        <row r="41">
          <cell r="O41">
            <v>1982523.7279349046</v>
          </cell>
        </row>
        <row r="42">
          <cell r="O42">
            <v>2038666.995236581</v>
          </cell>
        </row>
        <row r="43">
          <cell r="O43">
            <v>2044650.0174701086</v>
          </cell>
        </row>
        <row r="44">
          <cell r="O44">
            <v>2110985.2894221153</v>
          </cell>
        </row>
        <row r="45">
          <cell r="O45">
            <v>2235648.0543576018</v>
          </cell>
        </row>
        <row r="46">
          <cell r="O46">
            <v>2366883.4234038997</v>
          </cell>
        </row>
        <row r="47">
          <cell r="O47">
            <v>2474682.9069583341</v>
          </cell>
        </row>
        <row r="48">
          <cell r="O48">
            <v>2654811.1426875582</v>
          </cell>
        </row>
        <row r="49">
          <cell r="O49">
            <v>2872281.9666994079</v>
          </cell>
        </row>
        <row r="50">
          <cell r="O50">
            <v>3013242.2739663576</v>
          </cell>
        </row>
        <row r="51">
          <cell r="O51">
            <v>3018599.0876371036</v>
          </cell>
        </row>
        <row r="52">
          <cell r="O52">
            <v>3208578.5925527643</v>
          </cell>
        </row>
        <row r="53">
          <cell r="O53">
            <v>3320627.2850127798</v>
          </cell>
        </row>
        <row r="54">
          <cell r="O54">
            <v>3514863.1005364712</v>
          </cell>
        </row>
        <row r="55">
          <cell r="O55">
            <v>3639054.9568555979</v>
          </cell>
        </row>
        <row r="56">
          <cell r="O56">
            <v>3069430.8951081703</v>
          </cell>
        </row>
        <row r="57">
          <cell r="O57">
            <v>2705620.7977669975</v>
          </cell>
        </row>
        <row r="58">
          <cell r="O58">
            <v>3000727.3504828736</v>
          </cell>
        </row>
        <row r="59">
          <cell r="O59">
            <v>3096270.2979098218</v>
          </cell>
        </row>
        <row r="60">
          <cell r="O60">
            <v>3183364.5031280313</v>
          </cell>
        </row>
        <row r="61">
          <cell r="O61">
            <v>2862136.7727876273</v>
          </cell>
        </row>
        <row r="62">
          <cell r="O62">
            <v>3014723.2982535898</v>
          </cell>
        </row>
        <row r="63">
          <cell r="O63">
            <v>2784015.250498198</v>
          </cell>
        </row>
        <row r="64">
          <cell r="O64">
            <v>2795460.2925404222</v>
          </cell>
        </row>
        <row r="65">
          <cell r="O65">
            <v>3193418.3832870666</v>
          </cell>
        </row>
        <row r="66">
          <cell r="O66">
            <v>3508299.325508568</v>
          </cell>
        </row>
        <row r="67">
          <cell r="O67">
            <v>3655890.4738887111</v>
          </cell>
        </row>
        <row r="68">
          <cell r="O68">
            <v>3628822.0542803332</v>
          </cell>
        </row>
        <row r="69">
          <cell r="O69">
            <v>3708732.2177632162</v>
          </cell>
        </row>
        <row r="70">
          <cell r="O70">
            <v>4166144.1037279209</v>
          </cell>
        </row>
        <row r="71">
          <cell r="O71">
            <v>4359248.1779059414</v>
          </cell>
        </row>
        <row r="72">
          <cell r="O72">
            <v>4174087.2904357333</v>
          </cell>
        </row>
        <row r="73">
          <cell r="O73">
            <v>3593283.4709406565</v>
          </cell>
        </row>
        <row r="74">
          <cell r="O74">
            <v>2938088.7446062607</v>
          </cell>
        </row>
        <row r="75">
          <cell r="O75">
            <v>3093509.6573582659</v>
          </cell>
        </row>
        <row r="76">
          <cell r="O76">
            <v>3535501.6524094115</v>
          </cell>
        </row>
        <row r="77">
          <cell r="O77">
            <v>3847985.8221308007</v>
          </cell>
        </row>
        <row r="78">
          <cell r="O78">
            <v>4049570.1486049797</v>
          </cell>
        </row>
        <row r="79">
          <cell r="O79">
            <v>4441881.7584913513</v>
          </cell>
        </row>
        <row r="80">
          <cell r="O80">
            <v>4547159.2057407275</v>
          </cell>
        </row>
        <row r="81">
          <cell r="O81">
            <v>4652165.373641137</v>
          </cell>
        </row>
        <row r="82">
          <cell r="O82">
            <v>4894315.6896263948</v>
          </cell>
        </row>
        <row r="83">
          <cell r="O83">
            <v>4902179.7360683745</v>
          </cell>
        </row>
        <row r="84">
          <cell r="O84">
            <v>5063603.3322300715</v>
          </cell>
        </row>
        <row r="85">
          <cell r="O85">
            <v>5208526.4738036878</v>
          </cell>
        </row>
        <row r="86">
          <cell r="O86">
            <v>5307107.9131299267</v>
          </cell>
        </row>
        <row r="87">
          <cell r="O87">
            <v>5765048.1889744634</v>
          </cell>
        </row>
        <row r="88">
          <cell r="O88">
            <v>6258938.3914109031</v>
          </cell>
        </row>
        <row r="89">
          <cell r="O89">
            <v>5585719.8442171877</v>
          </cell>
        </row>
        <row r="90">
          <cell r="O90">
            <v>6512764.5332658542</v>
          </cell>
        </row>
        <row r="91">
          <cell r="O91">
            <v>6372124.4884151034</v>
          </cell>
        </row>
        <row r="92">
          <cell r="O92">
            <v>6686124.6284912704</v>
          </cell>
        </row>
        <row r="93">
          <cell r="O93">
            <v>6977024.1321441252</v>
          </cell>
        </row>
        <row r="94">
          <cell r="O94">
            <v>7426608.858644058</v>
          </cell>
        </row>
        <row r="95">
          <cell r="O95">
            <v>7986500.8794328226</v>
          </cell>
        </row>
        <row r="96">
          <cell r="O96">
            <v>7727829.9232520089</v>
          </cell>
        </row>
        <row r="97">
          <cell r="O97">
            <v>8018659.212204488</v>
          </cell>
        </row>
        <row r="98">
          <cell r="O98">
            <v>8153260.7928230055</v>
          </cell>
        </row>
        <row r="99">
          <cell r="O99">
            <v>8989939.1624892876</v>
          </cell>
        </row>
        <row r="100">
          <cell r="O100">
            <v>9483618.720824603</v>
          </cell>
        </row>
        <row r="101">
          <cell r="O101">
            <v>8946686.907058401</v>
          </cell>
        </row>
        <row r="102">
          <cell r="O102">
            <v>9688926.5047205575</v>
          </cell>
        </row>
        <row r="103">
          <cell r="O103">
            <v>10152296.437185761</v>
          </cell>
        </row>
        <row r="104">
          <cell r="O104">
            <v>10633376.753748316</v>
          </cell>
        </row>
        <row r="105">
          <cell r="O105">
            <v>11306060.640954729</v>
          </cell>
        </row>
        <row r="106">
          <cell r="O106">
            <v>11557630.950735234</v>
          </cell>
        </row>
        <row r="107">
          <cell r="O107">
            <v>11651050.637611322</v>
          </cell>
        </row>
        <row r="108">
          <cell r="O108">
            <v>12950278.200823154</v>
          </cell>
        </row>
        <row r="109">
          <cell r="O109">
            <v>13370718.576514369</v>
          </cell>
        </row>
        <row r="110">
          <cell r="O110">
            <v>13849416.794631081</v>
          </cell>
        </row>
        <row r="111">
          <cell r="O111">
            <v>14364726.830165416</v>
          </cell>
        </row>
        <row r="112">
          <cell r="O112">
            <v>14660107.037449896</v>
          </cell>
        </row>
        <row r="113">
          <cell r="O113">
            <v>15972953.989602089</v>
          </cell>
        </row>
        <row r="114">
          <cell r="O114">
            <v>15779175.459507676</v>
          </cell>
        </row>
        <row r="115">
          <cell r="O115">
            <v>14901061.473721752</v>
          </cell>
        </row>
        <row r="116">
          <cell r="O116">
            <v>15046273.832487073</v>
          </cell>
        </row>
        <row r="117">
          <cell r="O117">
            <v>13103757.735814266</v>
          </cell>
        </row>
        <row r="118">
          <cell r="O118">
            <v>13564778.453149129</v>
          </cell>
        </row>
        <row r="119">
          <cell r="O119">
            <v>14902086.19033145</v>
          </cell>
        </row>
        <row r="120">
          <cell r="O120">
            <v>16126649.363426292</v>
          </cell>
        </row>
        <row r="121">
          <cell r="O121">
            <v>17462203.461874485</v>
          </cell>
        </row>
        <row r="122">
          <cell r="O122">
            <v>18849559.294542953</v>
          </cell>
        </row>
        <row r="123">
          <cell r="O123">
            <v>20020531.777484689</v>
          </cell>
        </row>
        <row r="124">
          <cell r="O124">
            <v>17300150.599222537</v>
          </cell>
        </row>
        <row r="125">
          <cell r="O125">
            <v>16815394.135125805</v>
          </cell>
        </row>
        <row r="126">
          <cell r="O126">
            <v>17805071.423093822</v>
          </cell>
        </row>
        <row r="127">
          <cell r="O127">
            <v>18155525.125029195</v>
          </cell>
        </row>
        <row r="128">
          <cell r="O128">
            <v>19171549.534458723</v>
          </cell>
        </row>
        <row r="129">
          <cell r="O129">
            <v>20412276.161992937</v>
          </cell>
        </row>
        <row r="130">
          <cell r="O130">
            <v>21911017.128352895</v>
          </cell>
        </row>
        <row r="131">
          <cell r="O131">
            <v>24228285.317068763</v>
          </cell>
        </row>
        <row r="132">
          <cell r="O132">
            <v>25142426.777105596</v>
          </cell>
        </row>
        <row r="133">
          <cell r="O133">
            <v>27136660.993374921</v>
          </cell>
        </row>
        <row r="134">
          <cell r="O134">
            <v>30438171.756635077</v>
          </cell>
        </row>
        <row r="135">
          <cell r="O135">
            <v>32559287.776969209</v>
          </cell>
        </row>
        <row r="136">
          <cell r="O136">
            <v>34416719.427535832</v>
          </cell>
        </row>
        <row r="137">
          <cell r="O137">
            <v>38028586.639296181</v>
          </cell>
        </row>
        <row r="138">
          <cell r="O138">
            <v>40831592.660049953</v>
          </cell>
        </row>
        <row r="139">
          <cell r="O139">
            <v>43526542.291929558</v>
          </cell>
        </row>
        <row r="140">
          <cell r="O140">
            <v>44944336.135766581</v>
          </cell>
        </row>
        <row r="141">
          <cell r="O141">
            <v>44616344.172736935</v>
          </cell>
        </row>
        <row r="142">
          <cell r="O142">
            <v>46605194.729468033</v>
          </cell>
        </row>
        <row r="143">
          <cell r="O143">
            <v>48165620.898592375</v>
          </cell>
        </row>
        <row r="144">
          <cell r="O144">
            <v>49209326.070127815</v>
          </cell>
        </row>
        <row r="145">
          <cell r="O145">
            <v>51156415.259999998</v>
          </cell>
        </row>
        <row r="146">
          <cell r="O146">
            <v>54246818.68</v>
          </cell>
        </row>
        <row r="147">
          <cell r="O147">
            <v>57262644.799999997</v>
          </cell>
        </row>
        <row r="148">
          <cell r="O148">
            <v>59890971.18</v>
          </cell>
        </row>
        <row r="149">
          <cell r="O149">
            <v>62646127</v>
          </cell>
        </row>
        <row r="150">
          <cell r="O150">
            <v>64940432</v>
          </cell>
        </row>
        <row r="151">
          <cell r="O151">
            <v>63848206</v>
          </cell>
        </row>
        <row r="152">
          <cell r="O152">
            <v>67167124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29C6-CD0C-4C36-A8A8-D3ABC153311C}">
  <dimension ref="A1:M1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defaultColWidth="11.5703125" defaultRowHeight="15" x14ac:dyDescent="0.25"/>
  <sheetData>
    <row r="1" spans="1:13" ht="45" x14ac:dyDescent="0.2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9</v>
      </c>
    </row>
    <row r="2" spans="1:13" x14ac:dyDescent="0.25">
      <c r="A2" s="7">
        <v>1860</v>
      </c>
      <c r="B2" s="8">
        <f>[1]Producción!O2</f>
        <v>554064.16231788439</v>
      </c>
      <c r="C2" s="9">
        <v>67069.667760529293</v>
      </c>
      <c r="D2" s="10">
        <v>50736.024144002382</v>
      </c>
      <c r="E2" s="10">
        <f>C2-D2</f>
        <v>16333.643616526912</v>
      </c>
      <c r="F2" s="11">
        <v>1600.9074023080718</v>
      </c>
      <c r="G2" s="10">
        <v>20325.148199491272</v>
      </c>
      <c r="H2" s="10">
        <v>3809.8886030811414</v>
      </c>
      <c r="I2" s="10">
        <f t="shared" ref="I2:I65" si="0">F2+G2+H2</f>
        <v>25735.944204880485</v>
      </c>
      <c r="J2" s="10">
        <v>28136.601675612052</v>
      </c>
      <c r="K2" s="10">
        <f t="shared" ref="K2:K65" si="1">B2-(E2+I2+J2)</f>
        <v>483857.97282086493</v>
      </c>
      <c r="L2" s="12"/>
      <c r="M2" s="13"/>
    </row>
    <row r="3" spans="1:13" x14ac:dyDescent="0.25">
      <c r="A3" s="7">
        <v>1861</v>
      </c>
      <c r="B3" s="8">
        <f>[1]Producción!O3</f>
        <v>560876.78696106642</v>
      </c>
      <c r="C3" s="10">
        <v>54902.524069259955</v>
      </c>
      <c r="D3" s="10">
        <v>40065.233467038888</v>
      </c>
      <c r="E3" s="10">
        <f t="shared" ref="E3:E66" si="2">C3-D3</f>
        <v>14837.290602221066</v>
      </c>
      <c r="F3" s="11">
        <v>1961.6610475727068</v>
      </c>
      <c r="G3" s="10">
        <v>20729.523639349747</v>
      </c>
      <c r="H3" s="10">
        <v>-3067.1337982602417</v>
      </c>
      <c r="I3" s="10">
        <f t="shared" si="0"/>
        <v>19624.050888662212</v>
      </c>
      <c r="J3" s="10">
        <v>27565.334806440889</v>
      </c>
      <c r="K3" s="10">
        <f t="shared" si="1"/>
        <v>498850.11066374223</v>
      </c>
      <c r="L3" s="12"/>
    </row>
    <row r="4" spans="1:13" x14ac:dyDescent="0.25">
      <c r="A4" s="7">
        <v>1862</v>
      </c>
      <c r="B4" s="8">
        <f>[1]Producción!O4</f>
        <v>566004.834732463</v>
      </c>
      <c r="C4" s="10">
        <v>59505.527691590156</v>
      </c>
      <c r="D4" s="10">
        <v>42195.814528095318</v>
      </c>
      <c r="E4" s="10">
        <f t="shared" si="2"/>
        <v>17309.713163494838</v>
      </c>
      <c r="F4" s="11">
        <v>1254.5352777718824</v>
      </c>
      <c r="G4" s="10">
        <v>21446.446062077895</v>
      </c>
      <c r="H4" s="10">
        <v>-459.74317224898198</v>
      </c>
      <c r="I4" s="10">
        <f t="shared" si="0"/>
        <v>22241.238167600797</v>
      </c>
      <c r="J4" s="10">
        <v>27823.715203991313</v>
      </c>
      <c r="K4" s="10">
        <f t="shared" si="1"/>
        <v>498630.16819737607</v>
      </c>
      <c r="L4" s="12"/>
    </row>
    <row r="5" spans="1:13" x14ac:dyDescent="0.25">
      <c r="A5" s="7">
        <v>1863</v>
      </c>
      <c r="B5" s="8">
        <f>[1]Producción!O5</f>
        <v>601499.32581357937</v>
      </c>
      <c r="C5" s="10">
        <v>63914.234319368246</v>
      </c>
      <c r="D5" s="10">
        <v>48319.520420567023</v>
      </c>
      <c r="E5" s="10">
        <f t="shared" si="2"/>
        <v>15594.713898801223</v>
      </c>
      <c r="F5" s="11">
        <v>1376.6813209350803</v>
      </c>
      <c r="G5" s="10">
        <v>22787.199363998068</v>
      </c>
      <c r="H5" s="10">
        <v>2350.9663381240707</v>
      </c>
      <c r="I5" s="10">
        <f t="shared" si="0"/>
        <v>26514.84702305722</v>
      </c>
      <c r="J5" s="10">
        <v>29160.194953678216</v>
      </c>
      <c r="K5" s="10">
        <f t="shared" si="1"/>
        <v>530229.56993804267</v>
      </c>
      <c r="L5" s="12"/>
    </row>
    <row r="6" spans="1:13" x14ac:dyDescent="0.25">
      <c r="A6" s="7">
        <v>1864</v>
      </c>
      <c r="B6" s="8">
        <f>[1]Producción!O6</f>
        <v>635783.91151894326</v>
      </c>
      <c r="C6" s="10">
        <v>79927.225202458707</v>
      </c>
      <c r="D6" s="10">
        <v>46684.830835583685</v>
      </c>
      <c r="E6" s="10">
        <f t="shared" si="2"/>
        <v>33242.394366875022</v>
      </c>
      <c r="F6" s="11">
        <v>1624.2368355929907</v>
      </c>
      <c r="G6" s="10">
        <v>24243.752295617433</v>
      </c>
      <c r="H6" s="10">
        <v>-3019.1506820457685</v>
      </c>
      <c r="I6" s="10">
        <f t="shared" si="0"/>
        <v>22848.838449164654</v>
      </c>
      <c r="J6" s="10">
        <v>35966.166036412193</v>
      </c>
      <c r="K6" s="10">
        <f t="shared" si="1"/>
        <v>543726.51266649144</v>
      </c>
      <c r="L6" s="12"/>
    </row>
    <row r="7" spans="1:13" x14ac:dyDescent="0.25">
      <c r="A7" s="7">
        <v>1865</v>
      </c>
      <c r="B7" s="8">
        <f>[1]Producción!O7</f>
        <v>653236.15052295628</v>
      </c>
      <c r="C7" s="10">
        <v>78304.430680664183</v>
      </c>
      <c r="D7" s="10">
        <v>55058.420914334696</v>
      </c>
      <c r="E7" s="10">
        <f t="shared" si="2"/>
        <v>23246.009766329487</v>
      </c>
      <c r="F7" s="11">
        <v>1659.200390879761</v>
      </c>
      <c r="G7" s="10">
        <v>26916.75477745655</v>
      </c>
      <c r="H7" s="10">
        <v>3305.4181925808521</v>
      </c>
      <c r="I7" s="10">
        <f t="shared" si="0"/>
        <v>31881.373360917161</v>
      </c>
      <c r="J7" s="10">
        <v>44297.335647741958</v>
      </c>
      <c r="K7" s="10">
        <f t="shared" si="1"/>
        <v>553811.43174796761</v>
      </c>
      <c r="L7" s="12"/>
    </row>
    <row r="8" spans="1:13" x14ac:dyDescent="0.25">
      <c r="A8" s="7">
        <v>1866</v>
      </c>
      <c r="B8" s="8">
        <f>[1]Producción!O8</f>
        <v>656390.83837569575</v>
      </c>
      <c r="C8" s="10">
        <v>84998.341881740387</v>
      </c>
      <c r="D8" s="10">
        <v>48634.869414425651</v>
      </c>
      <c r="E8" s="10">
        <f t="shared" si="2"/>
        <v>36363.472467314736</v>
      </c>
      <c r="F8" s="11">
        <v>2196.9501509895349</v>
      </c>
      <c r="G8" s="10">
        <v>30840.814131235256</v>
      </c>
      <c r="H8" s="10">
        <v>-5926.7644842538848</v>
      </c>
      <c r="I8" s="10">
        <f t="shared" si="0"/>
        <v>27110.999797970908</v>
      </c>
      <c r="J8" s="10">
        <v>53733.643692619342</v>
      </c>
      <c r="K8" s="10">
        <f t="shared" si="1"/>
        <v>539182.72241779079</v>
      </c>
      <c r="L8" s="12"/>
    </row>
    <row r="9" spans="1:13" x14ac:dyDescent="0.25">
      <c r="A9" s="7">
        <v>1867</v>
      </c>
      <c r="B9" s="8">
        <f>[1]Producción!O9</f>
        <v>685354.18323916465</v>
      </c>
      <c r="C9" s="10">
        <v>90383.916557666249</v>
      </c>
      <c r="D9" s="10">
        <v>66691.887135083802</v>
      </c>
      <c r="E9" s="10">
        <f t="shared" si="2"/>
        <v>23692.029422582447</v>
      </c>
      <c r="F9" s="11">
        <v>1917.8515618648235</v>
      </c>
      <c r="G9" s="10">
        <v>30990.135584506781</v>
      </c>
      <c r="H9" s="10">
        <v>3694.1179998525977</v>
      </c>
      <c r="I9" s="10">
        <f t="shared" si="0"/>
        <v>36602.105146224203</v>
      </c>
      <c r="J9" s="10">
        <v>54031.35605123188</v>
      </c>
      <c r="K9" s="10">
        <f t="shared" si="1"/>
        <v>571028.69261912606</v>
      </c>
      <c r="L9" s="12"/>
    </row>
    <row r="10" spans="1:13" x14ac:dyDescent="0.25">
      <c r="A10" s="7">
        <v>1868</v>
      </c>
      <c r="B10" s="8">
        <f>[1]Producción!O10</f>
        <v>722845.63063659961</v>
      </c>
      <c r="C10" s="10">
        <v>97403.274317478994</v>
      </c>
      <c r="D10" s="10">
        <v>73246.424333679126</v>
      </c>
      <c r="E10" s="10">
        <f t="shared" si="2"/>
        <v>24156.849983799868</v>
      </c>
      <c r="F10" s="11">
        <v>2227.0287619925684</v>
      </c>
      <c r="G10" s="10">
        <v>30878.154102460863</v>
      </c>
      <c r="H10" s="10">
        <v>1529.1783205038912</v>
      </c>
      <c r="I10" s="10">
        <f t="shared" si="0"/>
        <v>34634.361184957321</v>
      </c>
      <c r="J10" s="10">
        <v>52066.257746721327</v>
      </c>
      <c r="K10" s="10">
        <f t="shared" si="1"/>
        <v>611988.16172112105</v>
      </c>
      <c r="L10" s="12"/>
    </row>
    <row r="11" spans="1:13" x14ac:dyDescent="0.25">
      <c r="A11" s="7">
        <v>1869</v>
      </c>
      <c r="B11" s="8">
        <f>[1]Producción!O11</f>
        <v>774881.43038827833</v>
      </c>
      <c r="C11" s="10">
        <v>111275.09247660867</v>
      </c>
      <c r="D11" s="10">
        <v>76743.311846270255</v>
      </c>
      <c r="E11" s="10">
        <f t="shared" si="2"/>
        <v>34531.780630338413</v>
      </c>
      <c r="F11" s="11">
        <v>840.6442080136859</v>
      </c>
      <c r="G11" s="10">
        <v>33048.591458762559</v>
      </c>
      <c r="H11" s="10">
        <v>-1641.4957105440378</v>
      </c>
      <c r="I11" s="10">
        <f t="shared" si="0"/>
        <v>32247.739956232206</v>
      </c>
      <c r="J11" s="10">
        <v>49988.724885759584</v>
      </c>
      <c r="K11" s="10">
        <f t="shared" si="1"/>
        <v>658113.18491594808</v>
      </c>
      <c r="L11" s="12"/>
    </row>
    <row r="12" spans="1:13" x14ac:dyDescent="0.25">
      <c r="A12" s="7">
        <v>1870</v>
      </c>
      <c r="B12" s="8">
        <f>[1]Producción!O12</f>
        <v>776194.08699593297</v>
      </c>
      <c r="C12" s="10">
        <v>89634.853858468356</v>
      </c>
      <c r="D12" s="10">
        <v>81498.221418099623</v>
      </c>
      <c r="E12" s="10">
        <f t="shared" si="2"/>
        <v>8136.6324403687322</v>
      </c>
      <c r="F12" s="11">
        <v>2877.6768252311085</v>
      </c>
      <c r="G12" s="10">
        <v>35894.315735353455</v>
      </c>
      <c r="H12" s="10">
        <v>2409.7642809737808</v>
      </c>
      <c r="I12" s="10">
        <f t="shared" si="0"/>
        <v>41181.756841558345</v>
      </c>
      <c r="J12" s="10">
        <v>52348.099257193877</v>
      </c>
      <c r="K12" s="10">
        <f t="shared" si="1"/>
        <v>674527.59845681197</v>
      </c>
      <c r="L12" s="12"/>
    </row>
    <row r="13" spans="1:13" x14ac:dyDescent="0.25">
      <c r="A13" s="7">
        <v>1871</v>
      </c>
      <c r="B13" s="8">
        <f>[1]Producción!O13</f>
        <v>812288.83610011812</v>
      </c>
      <c r="C13" s="10">
        <v>101219.94066451619</v>
      </c>
      <c r="D13" s="10">
        <v>77516.304805038017</v>
      </c>
      <c r="E13" s="10">
        <f t="shared" si="2"/>
        <v>23703.635859478178</v>
      </c>
      <c r="F13" s="11">
        <v>1864.7657811246077</v>
      </c>
      <c r="G13" s="10">
        <v>39474.26524893137</v>
      </c>
      <c r="H13" s="10">
        <v>-6112.6658211980011</v>
      </c>
      <c r="I13" s="10">
        <f t="shared" si="0"/>
        <v>35226.365208857977</v>
      </c>
      <c r="J13" s="10">
        <v>51080.657624227519</v>
      </c>
      <c r="K13" s="10">
        <f t="shared" si="1"/>
        <v>702278.17740755447</v>
      </c>
      <c r="L13" s="12"/>
    </row>
    <row r="14" spans="1:13" x14ac:dyDescent="0.25">
      <c r="A14" s="7">
        <v>1872</v>
      </c>
      <c r="B14" s="8">
        <f>[1]Producción!O14</f>
        <v>854654.78715074202</v>
      </c>
      <c r="C14" s="10">
        <v>118892.18641681508</v>
      </c>
      <c r="D14" s="10">
        <v>103412.45913579639</v>
      </c>
      <c r="E14" s="10">
        <f t="shared" si="2"/>
        <v>15479.727281018684</v>
      </c>
      <c r="F14" s="11">
        <v>2061.3567434577872</v>
      </c>
      <c r="G14" s="10">
        <v>42365.694674969163</v>
      </c>
      <c r="H14" s="10">
        <v>6499.4368927976111</v>
      </c>
      <c r="I14" s="10">
        <f t="shared" si="0"/>
        <v>50926.488311224559</v>
      </c>
      <c r="J14" s="10">
        <v>46336.259833705386</v>
      </c>
      <c r="K14" s="10">
        <f t="shared" si="1"/>
        <v>741912.3117247934</v>
      </c>
      <c r="L14" s="12"/>
    </row>
    <row r="15" spans="1:13" x14ac:dyDescent="0.25">
      <c r="A15" s="7">
        <v>1873</v>
      </c>
      <c r="B15" s="8">
        <f>[1]Producción!O15</f>
        <v>932608.59806761891</v>
      </c>
      <c r="C15" s="10">
        <v>116604.79694505634</v>
      </c>
      <c r="D15" s="10">
        <v>108322.04726580351</v>
      </c>
      <c r="E15" s="10">
        <f t="shared" si="2"/>
        <v>8282.7496792528254</v>
      </c>
      <c r="F15" s="11">
        <v>1950.5776291017987</v>
      </c>
      <c r="G15" s="10">
        <v>48618.734827171254</v>
      </c>
      <c r="H15" s="10">
        <v>-675.59522563573285</v>
      </c>
      <c r="I15" s="10">
        <f t="shared" si="0"/>
        <v>49893.717230637318</v>
      </c>
      <c r="J15" s="10">
        <v>58442.170939755546</v>
      </c>
      <c r="K15" s="10">
        <f t="shared" si="1"/>
        <v>815989.96021797322</v>
      </c>
      <c r="L15" s="12"/>
    </row>
    <row r="16" spans="1:13" x14ac:dyDescent="0.25">
      <c r="A16" s="7">
        <v>1874</v>
      </c>
      <c r="B16" s="8">
        <f>[1]Producción!O16</f>
        <v>929970.63823356002</v>
      </c>
      <c r="C16" s="10">
        <v>127176.19998722871</v>
      </c>
      <c r="D16" s="10">
        <v>106096.04843481971</v>
      </c>
      <c r="E16" s="10">
        <f t="shared" si="2"/>
        <v>21080.151552409006</v>
      </c>
      <c r="F16" s="11">
        <v>6811.3908999696905</v>
      </c>
      <c r="G16" s="10">
        <v>57561.788122036902</v>
      </c>
      <c r="H16" s="10">
        <v>-1179.5489393407902</v>
      </c>
      <c r="I16" s="10">
        <f t="shared" si="0"/>
        <v>63193.630082665797</v>
      </c>
      <c r="J16" s="10">
        <v>70577.221384640783</v>
      </c>
      <c r="K16" s="10">
        <f t="shared" si="1"/>
        <v>775119.63521384448</v>
      </c>
      <c r="L16" s="12"/>
    </row>
    <row r="17" spans="1:12" x14ac:dyDescent="0.25">
      <c r="A17" s="7">
        <v>1875</v>
      </c>
      <c r="B17" s="8">
        <f>[1]Producción!O17</f>
        <v>966440.3375124333</v>
      </c>
      <c r="C17" s="10">
        <v>110361.98167770085</v>
      </c>
      <c r="D17" s="10">
        <v>108451.33150450075</v>
      </c>
      <c r="E17" s="10">
        <f t="shared" si="2"/>
        <v>1910.6501732001052</v>
      </c>
      <c r="F17" s="11">
        <v>6040.5385334252051</v>
      </c>
      <c r="G17" s="10">
        <v>63841.212572747012</v>
      </c>
      <c r="H17" s="10">
        <v>1103.4521421271359</v>
      </c>
      <c r="I17" s="10">
        <f t="shared" si="0"/>
        <v>70985.203248299353</v>
      </c>
      <c r="J17" s="10">
        <v>70654.932908724673</v>
      </c>
      <c r="K17" s="10">
        <f t="shared" si="1"/>
        <v>822889.55118220916</v>
      </c>
      <c r="L17" s="12"/>
    </row>
    <row r="18" spans="1:12" x14ac:dyDescent="0.25">
      <c r="A18" s="7">
        <v>1876</v>
      </c>
      <c r="B18" s="8">
        <f>[1]Producción!O18</f>
        <v>973694.05918838398</v>
      </c>
      <c r="C18" s="10">
        <v>99822.674308414877</v>
      </c>
      <c r="D18" s="10">
        <v>103608.90456214319</v>
      </c>
      <c r="E18" s="10">
        <f t="shared" si="2"/>
        <v>-3786.2302537283103</v>
      </c>
      <c r="F18" s="11">
        <v>2016.2824345143169</v>
      </c>
      <c r="G18" s="10">
        <v>69042.271461650627</v>
      </c>
      <c r="H18" s="10">
        <v>2894.738817220531</v>
      </c>
      <c r="I18" s="10">
        <f t="shared" si="0"/>
        <v>73953.292713385468</v>
      </c>
      <c r="J18" s="10">
        <v>66125.971411734034</v>
      </c>
      <c r="K18" s="10">
        <f t="shared" si="1"/>
        <v>837401.02531699277</v>
      </c>
      <c r="L18" s="12"/>
    </row>
    <row r="19" spans="1:12" x14ac:dyDescent="0.25">
      <c r="A19" s="7">
        <v>1877</v>
      </c>
      <c r="B19" s="8">
        <f>[1]Producción!O19</f>
        <v>945075.34159133595</v>
      </c>
      <c r="C19" s="10">
        <v>89989.496847800518</v>
      </c>
      <c r="D19" s="10">
        <v>87107.690548483166</v>
      </c>
      <c r="E19" s="10">
        <f t="shared" si="2"/>
        <v>2881.8062993173517</v>
      </c>
      <c r="F19" s="11">
        <v>4445.9510660275182</v>
      </c>
      <c r="G19" s="10">
        <v>76112.990010844762</v>
      </c>
      <c r="H19" s="10">
        <v>-3488.5484898460645</v>
      </c>
      <c r="I19" s="10">
        <f t="shared" si="0"/>
        <v>77070.392587026203</v>
      </c>
      <c r="J19" s="10">
        <v>65775.354464166216</v>
      </c>
      <c r="K19" s="10">
        <f t="shared" si="1"/>
        <v>799347.78824082622</v>
      </c>
      <c r="L19" s="12"/>
    </row>
    <row r="20" spans="1:12" x14ac:dyDescent="0.25">
      <c r="A20" s="7">
        <v>1878</v>
      </c>
      <c r="B20" s="8">
        <f>[1]Producción!O20</f>
        <v>949744.42641731841</v>
      </c>
      <c r="C20" s="10">
        <v>95701.908186336455</v>
      </c>
      <c r="D20" s="10">
        <v>80952.929602410746</v>
      </c>
      <c r="E20" s="10">
        <f t="shared" si="2"/>
        <v>14748.978583925709</v>
      </c>
      <c r="F20" s="11">
        <v>1693.3317719419952</v>
      </c>
      <c r="G20" s="10">
        <v>74447.854960017925</v>
      </c>
      <c r="H20" s="10">
        <v>1097.0712096784816</v>
      </c>
      <c r="I20" s="10">
        <f t="shared" si="0"/>
        <v>77238.257941638411</v>
      </c>
      <c r="J20" s="10">
        <v>65185.896545630727</v>
      </c>
      <c r="K20" s="10">
        <f t="shared" si="1"/>
        <v>792571.29334612354</v>
      </c>
      <c r="L20" s="12"/>
    </row>
    <row r="21" spans="1:12" x14ac:dyDescent="0.25">
      <c r="A21" s="7">
        <v>1879</v>
      </c>
      <c r="B21" s="8">
        <f>[1]Producción!O21</f>
        <v>972516.13670052728</v>
      </c>
      <c r="C21" s="10">
        <v>114740.97404435121</v>
      </c>
      <c r="D21" s="10">
        <v>76760.844109555575</v>
      </c>
      <c r="E21" s="10">
        <f t="shared" si="2"/>
        <v>37980.129934795637</v>
      </c>
      <c r="F21" s="11">
        <v>863.61735651051174</v>
      </c>
      <c r="G21" s="10">
        <v>83772.010397690188</v>
      </c>
      <c r="H21" s="10">
        <v>-2262.3888804462554</v>
      </c>
      <c r="I21" s="10">
        <f t="shared" si="0"/>
        <v>82373.238873754439</v>
      </c>
      <c r="J21" s="10">
        <v>68891.364560654794</v>
      </c>
      <c r="K21" s="10">
        <f t="shared" si="1"/>
        <v>783271.40333132236</v>
      </c>
      <c r="L21" s="12"/>
    </row>
    <row r="22" spans="1:12" x14ac:dyDescent="0.25">
      <c r="A22" s="7">
        <v>1880</v>
      </c>
      <c r="B22" s="8">
        <f>[1]Producción!O22</f>
        <v>1056508.9320095417</v>
      </c>
      <c r="C22" s="10">
        <v>139060.41356991619</v>
      </c>
      <c r="D22" s="10">
        <v>83797.863780448897</v>
      </c>
      <c r="E22" s="10">
        <f t="shared" si="2"/>
        <v>55262.549789467288</v>
      </c>
      <c r="F22" s="11">
        <v>1940.2876316439897</v>
      </c>
      <c r="G22" s="10">
        <v>87730.441349236207</v>
      </c>
      <c r="H22" s="10">
        <v>-3921.9478013365474</v>
      </c>
      <c r="I22" s="10">
        <f t="shared" si="0"/>
        <v>85748.781179543657</v>
      </c>
      <c r="J22" s="10">
        <v>74739.438481113961</v>
      </c>
      <c r="K22" s="10">
        <f t="shared" si="1"/>
        <v>840758.16255941673</v>
      </c>
      <c r="L22" s="12"/>
    </row>
    <row r="23" spans="1:12" x14ac:dyDescent="0.25">
      <c r="A23" s="7">
        <v>1881</v>
      </c>
      <c r="B23" s="8">
        <f>[1]Producción!O23</f>
        <v>1169526.5428144478</v>
      </c>
      <c r="C23" s="10">
        <v>169766.21297009708</v>
      </c>
      <c r="D23" s="10">
        <v>110448.92597659609</v>
      </c>
      <c r="E23" s="10">
        <f t="shared" si="2"/>
        <v>59317.286993500995</v>
      </c>
      <c r="F23" s="11">
        <v>3394.7099343638829</v>
      </c>
      <c r="G23" s="10">
        <v>93473.590971460988</v>
      </c>
      <c r="H23" s="10">
        <v>-1648.5630041747806</v>
      </c>
      <c r="I23" s="10">
        <f t="shared" si="0"/>
        <v>95219.737901650093</v>
      </c>
      <c r="J23" s="10">
        <v>90439.508074569065</v>
      </c>
      <c r="K23" s="10">
        <f t="shared" si="1"/>
        <v>924550.00984472758</v>
      </c>
      <c r="L23" s="12"/>
    </row>
    <row r="24" spans="1:12" x14ac:dyDescent="0.25">
      <c r="A24" s="7">
        <v>1882</v>
      </c>
      <c r="B24" s="8">
        <f>[1]Producción!O24</f>
        <v>1278085.5079531504</v>
      </c>
      <c r="C24" s="10">
        <v>211935.97744151519</v>
      </c>
      <c r="D24" s="10">
        <v>147802.38992778986</v>
      </c>
      <c r="E24" s="10">
        <f t="shared" si="2"/>
        <v>64133.587513725332</v>
      </c>
      <c r="F24" s="11">
        <v>4982.767587616614</v>
      </c>
      <c r="G24" s="10">
        <v>102042.45446106397</v>
      </c>
      <c r="H24" s="10">
        <v>4625.4694819083061</v>
      </c>
      <c r="I24" s="10">
        <f t="shared" si="0"/>
        <v>111650.6915305889</v>
      </c>
      <c r="J24" s="10">
        <v>97721.907013710093</v>
      </c>
      <c r="K24" s="10">
        <f t="shared" si="1"/>
        <v>1004579.3218951261</v>
      </c>
      <c r="L24" s="12"/>
    </row>
    <row r="25" spans="1:12" x14ac:dyDescent="0.25">
      <c r="A25" s="7">
        <v>1883</v>
      </c>
      <c r="B25" s="8">
        <f>[1]Producción!O25</f>
        <v>1349590.127306913</v>
      </c>
      <c r="C25" s="10">
        <v>237464.28414064273</v>
      </c>
      <c r="D25" s="10">
        <v>166917.10654155479</v>
      </c>
      <c r="E25" s="10">
        <f t="shared" si="2"/>
        <v>70547.17759908794</v>
      </c>
      <c r="F25" s="11">
        <v>4404.769557965722</v>
      </c>
      <c r="G25" s="10">
        <v>117403.7614976966</v>
      </c>
      <c r="H25" s="10">
        <v>2112.7779677617223</v>
      </c>
      <c r="I25" s="10">
        <f t="shared" si="0"/>
        <v>123921.30902342404</v>
      </c>
      <c r="J25" s="10">
        <v>128300.8337484497</v>
      </c>
      <c r="K25" s="10">
        <f t="shared" si="1"/>
        <v>1026820.8069359513</v>
      </c>
      <c r="L25" s="12"/>
    </row>
    <row r="26" spans="1:12" x14ac:dyDescent="0.25">
      <c r="A26" s="7">
        <v>1884</v>
      </c>
      <c r="B26" s="8">
        <f>[1]Producción!O26</f>
        <v>1381579.6982055276</v>
      </c>
      <c r="C26" s="10">
        <v>216475.23178542015</v>
      </c>
      <c r="D26" s="10">
        <v>164616.75190918171</v>
      </c>
      <c r="E26" s="10">
        <f t="shared" si="2"/>
        <v>51858.479876238445</v>
      </c>
      <c r="F26" s="11">
        <v>7501.8058770704502</v>
      </c>
      <c r="G26" s="10">
        <v>115924.48026506649</v>
      </c>
      <c r="H26" s="10">
        <v>9438.5544883935709</v>
      </c>
      <c r="I26" s="10">
        <f t="shared" si="0"/>
        <v>132864.84063053053</v>
      </c>
      <c r="J26" s="10">
        <v>97649.189555089702</v>
      </c>
      <c r="K26" s="10">
        <f t="shared" si="1"/>
        <v>1099207.1881436689</v>
      </c>
      <c r="L26" s="12"/>
    </row>
    <row r="27" spans="1:12" x14ac:dyDescent="0.25">
      <c r="A27" s="7">
        <v>1885</v>
      </c>
      <c r="B27" s="8">
        <f>[1]Producción!O27</f>
        <v>1356731.1589218492</v>
      </c>
      <c r="C27" s="10">
        <v>197364.63052131416</v>
      </c>
      <c r="D27" s="10">
        <v>126150.23721100304</v>
      </c>
      <c r="E27" s="10">
        <f t="shared" si="2"/>
        <v>71214.393310311119</v>
      </c>
      <c r="F27" s="11">
        <v>4774.7199521971079</v>
      </c>
      <c r="G27" s="10">
        <v>122848.13858205563</v>
      </c>
      <c r="H27" s="10">
        <v>-10691.096969141874</v>
      </c>
      <c r="I27" s="10">
        <f t="shared" si="0"/>
        <v>116931.76156511086</v>
      </c>
      <c r="J27" s="10">
        <v>107390.92348456629</v>
      </c>
      <c r="K27" s="10">
        <f t="shared" si="1"/>
        <v>1061194.0805618609</v>
      </c>
      <c r="L27" s="12"/>
    </row>
    <row r="28" spans="1:12" x14ac:dyDescent="0.25">
      <c r="A28" s="7">
        <v>1886</v>
      </c>
      <c r="B28" s="8">
        <f>[1]Producción!O28</f>
        <v>1408140.6622885866</v>
      </c>
      <c r="C28" s="10">
        <v>213418.6959643125</v>
      </c>
      <c r="D28" s="10">
        <v>138755.65870612682</v>
      </c>
      <c r="E28" s="10">
        <f t="shared" si="2"/>
        <v>74663.037258185679</v>
      </c>
      <c r="F28" s="11">
        <v>2836.3230693426899</v>
      </c>
      <c r="G28" s="10">
        <v>139803.65121762583</v>
      </c>
      <c r="H28" s="10">
        <v>158.86504631074686</v>
      </c>
      <c r="I28" s="10">
        <f t="shared" si="0"/>
        <v>142798.83933327926</v>
      </c>
      <c r="J28" s="10">
        <v>117200.82842116832</v>
      </c>
      <c r="K28" s="10">
        <f t="shared" si="1"/>
        <v>1073477.9572759534</v>
      </c>
      <c r="L28" s="12"/>
    </row>
    <row r="29" spans="1:12" x14ac:dyDescent="0.25">
      <c r="A29" s="7">
        <v>1887</v>
      </c>
      <c r="B29" s="8">
        <f>[1]Producción!O29</f>
        <v>1485951.9163368992</v>
      </c>
      <c r="C29" s="10">
        <v>258383.44073542661</v>
      </c>
      <c r="D29" s="10">
        <v>153212.78525727382</v>
      </c>
      <c r="E29" s="10">
        <f t="shared" si="2"/>
        <v>105170.6554781528</v>
      </c>
      <c r="F29" s="11">
        <v>5735.067364096436</v>
      </c>
      <c r="G29" s="10">
        <v>145153.08540281397</v>
      </c>
      <c r="H29" s="10">
        <v>-5675.3976221864832</v>
      </c>
      <c r="I29" s="10">
        <f t="shared" si="0"/>
        <v>145212.75514472392</v>
      </c>
      <c r="J29" s="10">
        <v>115412.97046263347</v>
      </c>
      <c r="K29" s="10">
        <f t="shared" si="1"/>
        <v>1120155.535251389</v>
      </c>
      <c r="L29" s="12"/>
    </row>
    <row r="30" spans="1:12" x14ac:dyDescent="0.25">
      <c r="A30" s="7">
        <v>1888</v>
      </c>
      <c r="B30" s="8">
        <f>[1]Producción!O30</f>
        <v>1524662.5129346866</v>
      </c>
      <c r="C30" s="10">
        <v>260005.06874427767</v>
      </c>
      <c r="D30" s="10">
        <v>191784.06547013918</v>
      </c>
      <c r="E30" s="10">
        <f t="shared" si="2"/>
        <v>68221.003274138493</v>
      </c>
      <c r="F30" s="11">
        <v>12899.861037014023</v>
      </c>
      <c r="G30" s="10">
        <v>140616.86844492942</v>
      </c>
      <c r="H30" s="10">
        <v>3928.5481132904229</v>
      </c>
      <c r="I30" s="10">
        <f t="shared" si="0"/>
        <v>157445.27759523387</v>
      </c>
      <c r="J30" s="10">
        <v>116787.27647080214</v>
      </c>
      <c r="K30" s="10">
        <f t="shared" si="1"/>
        <v>1182208.9555945122</v>
      </c>
      <c r="L30" s="12"/>
    </row>
    <row r="31" spans="1:12" x14ac:dyDescent="0.25">
      <c r="A31" s="7">
        <v>1889</v>
      </c>
      <c r="B31" s="8">
        <f>[1]Producción!O31</f>
        <v>1601555.6664536635</v>
      </c>
      <c r="C31" s="10">
        <v>267188.76317663217</v>
      </c>
      <c r="D31" s="10">
        <v>220222.35089744063</v>
      </c>
      <c r="E31" s="10">
        <f t="shared" si="2"/>
        <v>46966.412279191543</v>
      </c>
      <c r="F31" s="11">
        <v>5609.4790567291566</v>
      </c>
      <c r="G31" s="10">
        <v>160406.1356519752</v>
      </c>
      <c r="H31" s="10">
        <v>7377.8950332982831</v>
      </c>
      <c r="I31" s="10">
        <f t="shared" si="0"/>
        <v>173393.50974200264</v>
      </c>
      <c r="J31" s="10">
        <v>130317.70305094516</v>
      </c>
      <c r="K31" s="10">
        <f t="shared" si="1"/>
        <v>1250878.0413815242</v>
      </c>
      <c r="L31" s="12"/>
    </row>
    <row r="32" spans="1:12" x14ac:dyDescent="0.25">
      <c r="A32" s="7">
        <v>1890</v>
      </c>
      <c r="B32" s="8">
        <f>[1]Producción!O32</f>
        <v>1748733.5497860208</v>
      </c>
      <c r="C32" s="10">
        <v>292172.11376352498</v>
      </c>
      <c r="D32" s="10">
        <v>234007.66343998848</v>
      </c>
      <c r="E32" s="10">
        <f t="shared" si="2"/>
        <v>58164.450323536497</v>
      </c>
      <c r="F32" s="11">
        <v>16490.891885016652</v>
      </c>
      <c r="G32" s="10">
        <v>201163.68842138338</v>
      </c>
      <c r="H32" s="10">
        <v>-5177.9513609518654</v>
      </c>
      <c r="I32" s="10">
        <f t="shared" si="0"/>
        <v>212476.62894544814</v>
      </c>
      <c r="J32" s="10">
        <v>173922.80618306898</v>
      </c>
      <c r="K32" s="10">
        <f t="shared" si="1"/>
        <v>1304169.664333967</v>
      </c>
      <c r="L32" s="12"/>
    </row>
    <row r="33" spans="1:12" x14ac:dyDescent="0.25">
      <c r="A33" s="7">
        <v>1891</v>
      </c>
      <c r="B33" s="8">
        <f>[1]Producción!O33</f>
        <v>1651101.424741921</v>
      </c>
      <c r="C33" s="10">
        <v>293611.37699397391</v>
      </c>
      <c r="D33" s="10">
        <v>221615.76571429518</v>
      </c>
      <c r="E33" s="10">
        <f t="shared" si="2"/>
        <v>71995.611279678735</v>
      </c>
      <c r="F33" s="11">
        <v>12694.118605782192</v>
      </c>
      <c r="G33" s="10">
        <v>193214.1089677061</v>
      </c>
      <c r="H33" s="10">
        <v>-8348.5202076190217</v>
      </c>
      <c r="I33" s="10">
        <f t="shared" si="0"/>
        <v>197559.70736586925</v>
      </c>
      <c r="J33" s="10">
        <v>163573.68964483985</v>
      </c>
      <c r="K33" s="10">
        <f t="shared" si="1"/>
        <v>1217972.4164515333</v>
      </c>
      <c r="L33" s="12"/>
    </row>
    <row r="34" spans="1:12" x14ac:dyDescent="0.25">
      <c r="A34" s="7">
        <v>1892</v>
      </c>
      <c r="B34" s="8">
        <f>[1]Producción!O34</f>
        <v>1693398.6119113408</v>
      </c>
      <c r="C34" s="10">
        <v>281307.58759156399</v>
      </c>
      <c r="D34" s="10">
        <v>270443.4668044055</v>
      </c>
      <c r="E34" s="10">
        <f t="shared" si="2"/>
        <v>10864.120787158492</v>
      </c>
      <c r="F34" s="11">
        <v>5978.0008240191401</v>
      </c>
      <c r="G34" s="10">
        <v>207128.41161471914</v>
      </c>
      <c r="H34" s="10">
        <v>19064.896268735032</v>
      </c>
      <c r="I34" s="10">
        <f t="shared" si="0"/>
        <v>232171.3087074733</v>
      </c>
      <c r="J34" s="10">
        <v>156959.66556432462</v>
      </c>
      <c r="K34" s="10">
        <f t="shared" si="1"/>
        <v>1293403.5168523844</v>
      </c>
      <c r="L34" s="12"/>
    </row>
    <row r="35" spans="1:12" x14ac:dyDescent="0.25">
      <c r="A35" s="7">
        <v>1893</v>
      </c>
      <c r="B35" s="8">
        <f>[1]Producción!O35</f>
        <v>1740270.8990571147</v>
      </c>
      <c r="C35" s="10">
        <v>323038.87771306123</v>
      </c>
      <c r="D35" s="10">
        <v>248768.46299826118</v>
      </c>
      <c r="E35" s="10">
        <f t="shared" si="2"/>
        <v>74270.414714800048</v>
      </c>
      <c r="F35" s="11">
        <v>12485.179238571101</v>
      </c>
      <c r="G35" s="10">
        <v>212486.60411002781</v>
      </c>
      <c r="H35" s="10">
        <v>-1085.9943332025664</v>
      </c>
      <c r="I35" s="10">
        <f t="shared" si="0"/>
        <v>223885.78901539635</v>
      </c>
      <c r="J35" s="10">
        <v>143543.86104399155</v>
      </c>
      <c r="K35" s="10">
        <f t="shared" si="1"/>
        <v>1298570.8342829267</v>
      </c>
      <c r="L35" s="12"/>
    </row>
    <row r="36" spans="1:12" x14ac:dyDescent="0.25">
      <c r="A36" s="7">
        <v>1894</v>
      </c>
      <c r="B36" s="8">
        <f>[1]Producción!O36</f>
        <v>1768348.6486034663</v>
      </c>
      <c r="C36" s="10">
        <v>335862.55482631776</v>
      </c>
      <c r="D36" s="10">
        <v>213457.72789003461</v>
      </c>
      <c r="E36" s="10">
        <f t="shared" si="2"/>
        <v>122404.82693628315</v>
      </c>
      <c r="F36" s="11">
        <v>10321.52421513385</v>
      </c>
      <c r="G36" s="10">
        <v>229407.28177622799</v>
      </c>
      <c r="H36" s="10">
        <v>-18799.57616397645</v>
      </c>
      <c r="I36" s="10">
        <f t="shared" si="0"/>
        <v>220929.2298273854</v>
      </c>
      <c r="J36" s="10">
        <v>133883.71585230864</v>
      </c>
      <c r="K36" s="10">
        <f t="shared" si="1"/>
        <v>1291130.8759874892</v>
      </c>
      <c r="L36" s="12"/>
    </row>
    <row r="37" spans="1:12" x14ac:dyDescent="0.25">
      <c r="A37" s="7">
        <v>1895</v>
      </c>
      <c r="B37" s="8">
        <f>[1]Producción!O37</f>
        <v>1881718.0203570977</v>
      </c>
      <c r="C37" s="10">
        <v>367801.96588147874</v>
      </c>
      <c r="D37" s="10">
        <v>271037.32005191251</v>
      </c>
      <c r="E37" s="10">
        <f t="shared" si="2"/>
        <v>96764.645829566231</v>
      </c>
      <c r="F37" s="11">
        <v>8627.0686000601891</v>
      </c>
      <c r="G37" s="10">
        <v>244554.68560083187</v>
      </c>
      <c r="H37" s="10">
        <v>10958.927441090766</v>
      </c>
      <c r="I37" s="10">
        <f t="shared" si="0"/>
        <v>264140.68164198281</v>
      </c>
      <c r="J37" s="10">
        <v>186853.50623449308</v>
      </c>
      <c r="K37" s="10">
        <f t="shared" si="1"/>
        <v>1333959.1866510557</v>
      </c>
      <c r="L37" s="12"/>
    </row>
    <row r="38" spans="1:12" x14ac:dyDescent="0.25">
      <c r="A38" s="7">
        <v>1896</v>
      </c>
      <c r="B38" s="8">
        <f>[1]Producción!O38</f>
        <v>1984164.6927623716</v>
      </c>
      <c r="C38" s="10">
        <v>413195.732568593</v>
      </c>
      <c r="D38" s="10">
        <v>285974.99302695831</v>
      </c>
      <c r="E38" s="10">
        <f t="shared" si="2"/>
        <v>127220.73954163468</v>
      </c>
      <c r="F38" s="11">
        <v>9764.1653300370854</v>
      </c>
      <c r="G38" s="10">
        <v>268819.17640457163</v>
      </c>
      <c r="H38" s="10">
        <v>3455.4777898363063</v>
      </c>
      <c r="I38" s="10">
        <f t="shared" si="0"/>
        <v>282038.81952444499</v>
      </c>
      <c r="J38" s="10">
        <v>226952.29672313965</v>
      </c>
      <c r="K38" s="10">
        <f t="shared" si="1"/>
        <v>1347952.8369731524</v>
      </c>
      <c r="L38" s="12"/>
    </row>
    <row r="39" spans="1:12" x14ac:dyDescent="0.25">
      <c r="A39" s="7">
        <v>1897</v>
      </c>
      <c r="B39" s="8">
        <f>[1]Producción!O39</f>
        <v>1908292.9632570061</v>
      </c>
      <c r="C39" s="10">
        <v>325697.33087030664</v>
      </c>
      <c r="D39" s="10">
        <v>263296.05600859137</v>
      </c>
      <c r="E39" s="10">
        <f t="shared" si="2"/>
        <v>62401.274861715268</v>
      </c>
      <c r="F39" s="11">
        <v>6764.3587787844353</v>
      </c>
      <c r="G39" s="10">
        <v>245849.34924506405</v>
      </c>
      <c r="H39" s="10">
        <v>7270.1184481278324</v>
      </c>
      <c r="I39" s="10">
        <f t="shared" si="0"/>
        <v>259883.8264719763</v>
      </c>
      <c r="J39" s="10">
        <v>227750.49541585363</v>
      </c>
      <c r="K39" s="10">
        <f t="shared" si="1"/>
        <v>1358257.3665074608</v>
      </c>
      <c r="L39" s="12"/>
    </row>
    <row r="40" spans="1:12" x14ac:dyDescent="0.25">
      <c r="A40" s="7">
        <v>1898</v>
      </c>
      <c r="B40" s="8">
        <f>[1]Producción!O40</f>
        <v>1963520.8667779979</v>
      </c>
      <c r="C40" s="10">
        <v>413192.33689488727</v>
      </c>
      <c r="D40" s="10">
        <v>237090.02394583949</v>
      </c>
      <c r="E40" s="10">
        <f t="shared" si="2"/>
        <v>176102.31294904777</v>
      </c>
      <c r="F40" s="11">
        <v>7838.0042637831411</v>
      </c>
      <c r="G40" s="10">
        <v>249847.05406224291</v>
      </c>
      <c r="H40" s="10">
        <v>-12167.762381088487</v>
      </c>
      <c r="I40" s="10">
        <f t="shared" si="0"/>
        <v>245517.29594493756</v>
      </c>
      <c r="J40" s="10">
        <v>205930.26302572596</v>
      </c>
      <c r="K40" s="10">
        <f t="shared" si="1"/>
        <v>1335970.9948582866</v>
      </c>
      <c r="L40" s="12"/>
    </row>
    <row r="41" spans="1:12" x14ac:dyDescent="0.25">
      <c r="A41" s="7">
        <v>1899</v>
      </c>
      <c r="B41" s="8">
        <f>[1]Producción!O41</f>
        <v>1982523.7279349046</v>
      </c>
      <c r="C41" s="10">
        <v>388938.8737117445</v>
      </c>
      <c r="D41" s="10">
        <v>247001.31470479094</v>
      </c>
      <c r="E41" s="10">
        <f t="shared" si="2"/>
        <v>141937.55900695355</v>
      </c>
      <c r="F41" s="11">
        <v>12023.899762839555</v>
      </c>
      <c r="G41" s="10">
        <v>243065.01205886551</v>
      </c>
      <c r="H41" s="10">
        <v>-15853.168398365047</v>
      </c>
      <c r="I41" s="10">
        <f t="shared" si="0"/>
        <v>239235.74342334</v>
      </c>
      <c r="J41" s="10">
        <v>214786.84462118088</v>
      </c>
      <c r="K41" s="10">
        <f t="shared" si="1"/>
        <v>1386563.5808834303</v>
      </c>
      <c r="L41" s="12"/>
    </row>
    <row r="42" spans="1:12" x14ac:dyDescent="0.25">
      <c r="A42" s="7">
        <v>1900</v>
      </c>
      <c r="B42" s="8">
        <f>[1]Producción!O42</f>
        <v>2038666.995236581</v>
      </c>
      <c r="C42" s="10">
        <v>376624.59306682961</v>
      </c>
      <c r="D42" s="10">
        <v>308950.11347562517</v>
      </c>
      <c r="E42" s="10">
        <f t="shared" si="2"/>
        <v>67674.479591204436</v>
      </c>
      <c r="F42" s="11">
        <v>12431.791590710221</v>
      </c>
      <c r="G42" s="10">
        <v>259440.90412302359</v>
      </c>
      <c r="H42" s="10">
        <v>1061.7021319250841</v>
      </c>
      <c r="I42" s="10">
        <f t="shared" si="0"/>
        <v>272934.39784565888</v>
      </c>
      <c r="J42" s="10">
        <v>201046.12606637555</v>
      </c>
      <c r="K42" s="10">
        <f t="shared" si="1"/>
        <v>1497011.9917333419</v>
      </c>
      <c r="L42" s="12"/>
    </row>
    <row r="43" spans="1:12" x14ac:dyDescent="0.25">
      <c r="A43" s="7">
        <v>1901</v>
      </c>
      <c r="B43" s="8">
        <f>[1]Producción!O43</f>
        <v>2044650.0174701086</v>
      </c>
      <c r="C43" s="10">
        <v>333193.20585314627</v>
      </c>
      <c r="D43" s="10">
        <v>367730.22404628596</v>
      </c>
      <c r="E43" s="10">
        <f t="shared" si="2"/>
        <v>-34537.018193139695</v>
      </c>
      <c r="F43" s="11">
        <v>18175.81502593396</v>
      </c>
      <c r="G43" s="10">
        <v>264100.29779723909</v>
      </c>
      <c r="H43" s="10">
        <v>24383.144696123021</v>
      </c>
      <c r="I43" s="10">
        <f t="shared" si="0"/>
        <v>306659.25751929608</v>
      </c>
      <c r="J43" s="10">
        <v>220013.8834832111</v>
      </c>
      <c r="K43" s="10">
        <f t="shared" si="1"/>
        <v>1552513.8946607411</v>
      </c>
      <c r="L43" s="12"/>
    </row>
    <row r="44" spans="1:12" x14ac:dyDescent="0.25">
      <c r="A44" s="7">
        <v>1902</v>
      </c>
      <c r="B44" s="8">
        <f>[1]Producción!O44</f>
        <v>2110985.2894221153</v>
      </c>
      <c r="C44" s="10">
        <v>377087.28274623415</v>
      </c>
      <c r="D44" s="10">
        <v>358274.70477658795</v>
      </c>
      <c r="E44" s="10">
        <f t="shared" si="2"/>
        <v>18812.577969646198</v>
      </c>
      <c r="F44" s="11">
        <v>29392.389531338937</v>
      </c>
      <c r="G44" s="10">
        <v>257435.43399483248</v>
      </c>
      <c r="H44" s="10">
        <v>-8114.1305800357568</v>
      </c>
      <c r="I44" s="10">
        <f t="shared" si="0"/>
        <v>278713.69294613565</v>
      </c>
      <c r="J44" s="10">
        <v>234270.08588236757</v>
      </c>
      <c r="K44" s="10">
        <f t="shared" si="1"/>
        <v>1579188.9326239659</v>
      </c>
      <c r="L44" s="12"/>
    </row>
    <row r="45" spans="1:12" x14ac:dyDescent="0.25">
      <c r="A45" s="7">
        <v>1903</v>
      </c>
      <c r="B45" s="8">
        <f>[1]Producción!O45</f>
        <v>2235648.0543576018</v>
      </c>
      <c r="C45" s="10">
        <v>382367.682421398</v>
      </c>
      <c r="D45" s="10">
        <v>376344.58405069634</v>
      </c>
      <c r="E45" s="10">
        <f t="shared" si="2"/>
        <v>6023.0983707016567</v>
      </c>
      <c r="F45" s="11">
        <v>26194.231806096792</v>
      </c>
      <c r="G45" s="10">
        <v>262460.0675643087</v>
      </c>
      <c r="H45" s="10">
        <v>-7973.7688249603407</v>
      </c>
      <c r="I45" s="10">
        <f t="shared" si="0"/>
        <v>280680.53054544516</v>
      </c>
      <c r="J45" s="10">
        <v>244175.03885813689</v>
      </c>
      <c r="K45" s="10">
        <f t="shared" si="1"/>
        <v>1704769.386583318</v>
      </c>
      <c r="L45" s="12"/>
    </row>
    <row r="46" spans="1:12" x14ac:dyDescent="0.25">
      <c r="A46" s="7">
        <v>1904</v>
      </c>
      <c r="B46" s="8">
        <f>[1]Producción!O46</f>
        <v>2366883.4234038997</v>
      </c>
      <c r="C46" s="10">
        <v>410827.85117815208</v>
      </c>
      <c r="D46" s="10">
        <v>419250.45407102117</v>
      </c>
      <c r="E46" s="10">
        <f t="shared" si="2"/>
        <v>-8422.6028928690939</v>
      </c>
      <c r="F46" s="11">
        <v>24199.319132471461</v>
      </c>
      <c r="G46" s="10">
        <v>263317.08356164244</v>
      </c>
      <c r="H46" s="10">
        <v>-20007.929081259474</v>
      </c>
      <c r="I46" s="10">
        <f t="shared" si="0"/>
        <v>267508.47361285443</v>
      </c>
      <c r="J46" s="10">
        <v>239298.92029828404</v>
      </c>
      <c r="K46" s="10">
        <f>B46-(E46+I46+J46)</f>
        <v>1868498.6323856302</v>
      </c>
      <c r="L46" s="12"/>
    </row>
    <row r="47" spans="1:12" x14ac:dyDescent="0.25">
      <c r="A47" s="7">
        <v>1905</v>
      </c>
      <c r="B47" s="8">
        <f>[1]Producción!O47</f>
        <v>2474682.9069583341</v>
      </c>
      <c r="C47" s="10">
        <v>455999.26297303167</v>
      </c>
      <c r="D47" s="10">
        <v>545396.91735338955</v>
      </c>
      <c r="E47" s="10">
        <f t="shared" si="2"/>
        <v>-89397.654380357882</v>
      </c>
      <c r="F47" s="11">
        <v>21384.465631893992</v>
      </c>
      <c r="G47" s="10">
        <v>291217.07372327091</v>
      </c>
      <c r="H47" s="10">
        <v>14374.617907027572</v>
      </c>
      <c r="I47" s="10">
        <f t="shared" si="0"/>
        <v>326976.15726219252</v>
      </c>
      <c r="J47" s="10">
        <v>250500.88816994525</v>
      </c>
      <c r="K47" s="10">
        <f t="shared" si="1"/>
        <v>1986603.5159065542</v>
      </c>
      <c r="L47" s="12"/>
    </row>
    <row r="48" spans="1:12" x14ac:dyDescent="0.25">
      <c r="A48" s="7">
        <v>1906</v>
      </c>
      <c r="B48" s="8">
        <f>[1]Producción!O48</f>
        <v>2654811.1426875582</v>
      </c>
      <c r="C48" s="10">
        <v>394625.42039523256</v>
      </c>
      <c r="D48" s="10">
        <v>659008.67183605314</v>
      </c>
      <c r="E48" s="10">
        <f t="shared" si="2"/>
        <v>-264383.25144082058</v>
      </c>
      <c r="F48" s="11">
        <v>79545.398617516519</v>
      </c>
      <c r="G48" s="10">
        <v>315746.26964562642</v>
      </c>
      <c r="H48" s="10">
        <v>-16951.013485637963</v>
      </c>
      <c r="I48" s="10">
        <f t="shared" si="0"/>
        <v>378340.65477750497</v>
      </c>
      <c r="J48" s="10">
        <v>257653.85862978041</v>
      </c>
      <c r="K48" s="10">
        <f t="shared" si="1"/>
        <v>2283199.8807210932</v>
      </c>
      <c r="L48" s="12"/>
    </row>
    <row r="49" spans="1:12" x14ac:dyDescent="0.25">
      <c r="A49" s="7">
        <v>1907</v>
      </c>
      <c r="B49" s="8">
        <f>[1]Producción!O49</f>
        <v>2872281.9666994079</v>
      </c>
      <c r="C49" s="10">
        <v>416688.57506582094</v>
      </c>
      <c r="D49" s="10">
        <v>854196.32112897479</v>
      </c>
      <c r="E49" s="10">
        <f t="shared" si="2"/>
        <v>-437507.74606315384</v>
      </c>
      <c r="F49" s="11">
        <v>92590.955412391049</v>
      </c>
      <c r="G49" s="10">
        <v>378395.12234852195</v>
      </c>
      <c r="H49" s="10">
        <v>51668.968292015212</v>
      </c>
      <c r="I49" s="10">
        <f t="shared" si="0"/>
        <v>522655.0460529282</v>
      </c>
      <c r="J49" s="10">
        <v>286698.79337093467</v>
      </c>
      <c r="K49" s="10">
        <f t="shared" si="1"/>
        <v>2500435.8733386989</v>
      </c>
      <c r="L49" s="12"/>
    </row>
    <row r="50" spans="1:12" x14ac:dyDescent="0.25">
      <c r="A50" s="7">
        <v>1908</v>
      </c>
      <c r="B50" s="8">
        <f>[1]Producción!O50</f>
        <v>3013242.2739663576</v>
      </c>
      <c r="C50" s="10">
        <v>535030.05098495819</v>
      </c>
      <c r="D50" s="10">
        <v>802266.35275011533</v>
      </c>
      <c r="E50" s="10">
        <f t="shared" si="2"/>
        <v>-267236.30176515714</v>
      </c>
      <c r="F50" s="11">
        <v>108621.19480784434</v>
      </c>
      <c r="G50" s="10">
        <v>418542.71301966702</v>
      </c>
      <c r="H50" s="10">
        <v>14831.579701523095</v>
      </c>
      <c r="I50" s="10">
        <f t="shared" si="0"/>
        <v>541995.48752903438</v>
      </c>
      <c r="J50" s="10">
        <v>283983.98524026765</v>
      </c>
      <c r="K50" s="10">
        <f t="shared" si="1"/>
        <v>2454499.1029622126</v>
      </c>
      <c r="L50" s="12"/>
    </row>
    <row r="51" spans="1:12" x14ac:dyDescent="0.25">
      <c r="A51" s="7">
        <v>1909</v>
      </c>
      <c r="B51" s="8">
        <f>[1]Producción!O51</f>
        <v>3018599.0876371036</v>
      </c>
      <c r="C51" s="10">
        <v>525070.28710611374</v>
      </c>
      <c r="D51" s="10">
        <v>683788.06782887236</v>
      </c>
      <c r="E51" s="10">
        <f t="shared" si="2"/>
        <v>-158717.78072275862</v>
      </c>
      <c r="F51" s="11">
        <v>57606.608007863433</v>
      </c>
      <c r="G51" s="10">
        <v>435205.76702722954</v>
      </c>
      <c r="H51" s="10">
        <v>-32094.707356265488</v>
      </c>
      <c r="I51" s="10">
        <f t="shared" si="0"/>
        <v>460717.66767882748</v>
      </c>
      <c r="J51" s="10">
        <v>280430.35986526962</v>
      </c>
      <c r="K51" s="10">
        <f t="shared" si="1"/>
        <v>2436168.8408157649</v>
      </c>
      <c r="L51" s="12"/>
    </row>
    <row r="52" spans="1:12" x14ac:dyDescent="0.25">
      <c r="A52" s="7">
        <v>1910</v>
      </c>
      <c r="B52" s="8">
        <f>[1]Producción!O52</f>
        <v>3208578.5925527643</v>
      </c>
      <c r="C52" s="10">
        <v>569897.53201062547</v>
      </c>
      <c r="D52" s="10">
        <v>732957.32301393442</v>
      </c>
      <c r="E52" s="10">
        <f t="shared" si="2"/>
        <v>-163059.79100330896</v>
      </c>
      <c r="F52" s="11">
        <v>60068.428862900349</v>
      </c>
      <c r="G52" s="10">
        <v>481212.49345896958</v>
      </c>
      <c r="H52" s="10">
        <v>-12585.524858465793</v>
      </c>
      <c r="I52" s="10">
        <f t="shared" si="0"/>
        <v>528695.39746340411</v>
      </c>
      <c r="J52" s="10">
        <v>320629.69178826985</v>
      </c>
      <c r="K52" s="10">
        <f t="shared" si="1"/>
        <v>2522313.2943043993</v>
      </c>
      <c r="L52" s="12"/>
    </row>
    <row r="53" spans="1:12" x14ac:dyDescent="0.25">
      <c r="A53" s="7">
        <v>1911</v>
      </c>
      <c r="B53" s="8">
        <f>[1]Producción!O53</f>
        <v>3320627.2850127798</v>
      </c>
      <c r="C53" s="10">
        <v>523665.10257976578</v>
      </c>
      <c r="D53" s="10">
        <v>830889.78552997799</v>
      </c>
      <c r="E53" s="10">
        <f t="shared" si="2"/>
        <v>-307224.68295021221</v>
      </c>
      <c r="F53" s="11">
        <v>74274.010700020692</v>
      </c>
      <c r="G53" s="10">
        <v>501121.68052517192</v>
      </c>
      <c r="H53" s="10">
        <v>12661.647020515287</v>
      </c>
      <c r="I53" s="10">
        <f t="shared" si="0"/>
        <v>588057.33824570791</v>
      </c>
      <c r="J53" s="10">
        <v>364776.10722890357</v>
      </c>
      <c r="K53" s="10">
        <f t="shared" si="1"/>
        <v>2675018.5224883808</v>
      </c>
      <c r="L53" s="12"/>
    </row>
    <row r="54" spans="1:12" x14ac:dyDescent="0.25">
      <c r="A54" s="7">
        <v>1912</v>
      </c>
      <c r="B54" s="8">
        <f>[1]Producción!O54</f>
        <v>3514863.1005364712</v>
      </c>
      <c r="C54" s="10">
        <v>570145.28630444186</v>
      </c>
      <c r="D54" s="10">
        <v>868672.28092067572</v>
      </c>
      <c r="E54" s="10">
        <f t="shared" si="2"/>
        <v>-298526.99461623386</v>
      </c>
      <c r="F54" s="11">
        <v>88479.592537141012</v>
      </c>
      <c r="G54" s="10">
        <v>566212.21545364836</v>
      </c>
      <c r="H54" s="10">
        <v>5704.7230815293633</v>
      </c>
      <c r="I54" s="10">
        <f t="shared" si="0"/>
        <v>660396.53107231879</v>
      </c>
      <c r="J54" s="10">
        <v>375130.95967928792</v>
      </c>
      <c r="K54" s="10">
        <f t="shared" si="1"/>
        <v>2777862.6044010986</v>
      </c>
      <c r="L54" s="12"/>
    </row>
    <row r="55" spans="1:12" x14ac:dyDescent="0.25">
      <c r="A55" s="7">
        <v>1913</v>
      </c>
      <c r="B55" s="8">
        <f>[1]Producción!O55</f>
        <v>3639054.9568555979</v>
      </c>
      <c r="C55" s="10">
        <v>606400.4908792004</v>
      </c>
      <c r="D55" s="10">
        <v>859729.74612943002</v>
      </c>
      <c r="E55" s="10">
        <f t="shared" si="2"/>
        <v>-253329.25525022962</v>
      </c>
      <c r="F55" s="11">
        <v>83605.703116877281</v>
      </c>
      <c r="G55" s="10">
        <v>557202.6216263324</v>
      </c>
      <c r="H55" s="10">
        <v>14015.645945934122</v>
      </c>
      <c r="I55" s="10">
        <f t="shared" si="0"/>
        <v>654823.97068914375</v>
      </c>
      <c r="J55" s="10">
        <v>355377.03023077012</v>
      </c>
      <c r="K55" s="10">
        <f t="shared" si="1"/>
        <v>2882183.2111859135</v>
      </c>
      <c r="L55" s="12"/>
    </row>
    <row r="56" spans="1:12" x14ac:dyDescent="0.25">
      <c r="A56" s="7">
        <v>1914</v>
      </c>
      <c r="B56" s="8">
        <f>[1]Producción!O56</f>
        <v>3069430.8951081703</v>
      </c>
      <c r="C56" s="10">
        <v>460441.35508600192</v>
      </c>
      <c r="D56" s="10">
        <v>683447.14392969164</v>
      </c>
      <c r="E56" s="10">
        <f t="shared" si="2"/>
        <v>-223005.78884368972</v>
      </c>
      <c r="F56" s="11">
        <v>54906.618736355209</v>
      </c>
      <c r="G56" s="10">
        <v>499171.11205199151</v>
      </c>
      <c r="H56" s="10">
        <v>36461.186111001582</v>
      </c>
      <c r="I56" s="10">
        <f t="shared" si="0"/>
        <v>590538.91689934826</v>
      </c>
      <c r="J56" s="10">
        <v>305673.33794067008</v>
      </c>
      <c r="K56" s="10">
        <f t="shared" si="1"/>
        <v>2396224.4291118416</v>
      </c>
      <c r="L56" s="12"/>
    </row>
    <row r="57" spans="1:12" x14ac:dyDescent="0.25">
      <c r="A57" s="7">
        <v>1915</v>
      </c>
      <c r="B57" s="8">
        <f>[1]Producción!O57</f>
        <v>2705620.7977669975</v>
      </c>
      <c r="C57" s="10">
        <v>506196.16133198538</v>
      </c>
      <c r="D57" s="10">
        <v>413115.30413140124</v>
      </c>
      <c r="E57" s="10">
        <f t="shared" si="2"/>
        <v>93080.857200584142</v>
      </c>
      <c r="F57" s="11">
        <v>25428.46426882135</v>
      </c>
      <c r="G57" s="10">
        <v>367167.79362071614</v>
      </c>
      <c r="H57" s="10">
        <v>-72867.246364412844</v>
      </c>
      <c r="I57" s="10">
        <f t="shared" si="0"/>
        <v>319729.01152512466</v>
      </c>
      <c r="J57" s="10">
        <v>251909.40651086241</v>
      </c>
      <c r="K57" s="10">
        <f t="shared" si="1"/>
        <v>2040901.5225304263</v>
      </c>
      <c r="L57" s="12"/>
    </row>
    <row r="58" spans="1:12" x14ac:dyDescent="0.25">
      <c r="A58" s="7">
        <v>1916</v>
      </c>
      <c r="B58" s="8">
        <f>[1]Producción!O58</f>
        <v>3000727.3504828736</v>
      </c>
      <c r="C58" s="10">
        <v>653221.51767742925</v>
      </c>
      <c r="D58" s="10">
        <v>576832.88082410931</v>
      </c>
      <c r="E58" s="10">
        <f t="shared" si="2"/>
        <v>76388.636853319942</v>
      </c>
      <c r="F58" s="11">
        <v>47068.645067212667</v>
      </c>
      <c r="G58" s="10">
        <v>334440.48681567307</v>
      </c>
      <c r="H58" s="10">
        <v>632.56634733614328</v>
      </c>
      <c r="I58" s="10">
        <f t="shared" si="0"/>
        <v>382141.69823022187</v>
      </c>
      <c r="J58" s="10">
        <v>238596.38939681964</v>
      </c>
      <c r="K58" s="10">
        <f t="shared" si="1"/>
        <v>2303600.6260025119</v>
      </c>
      <c r="L58" s="12"/>
    </row>
    <row r="59" spans="1:12" x14ac:dyDescent="0.25">
      <c r="A59" s="7">
        <v>1917</v>
      </c>
      <c r="B59" s="8">
        <f>[1]Producción!O59</f>
        <v>3096270.2979098218</v>
      </c>
      <c r="C59" s="10">
        <v>698668.28547992778</v>
      </c>
      <c r="D59" s="10">
        <v>736931.96528655442</v>
      </c>
      <c r="E59" s="10">
        <f t="shared" si="2"/>
        <v>-38263.679806626635</v>
      </c>
      <c r="F59" s="11">
        <v>101832.2624137236</v>
      </c>
      <c r="G59" s="10">
        <v>335844.7322952887</v>
      </c>
      <c r="H59" s="10">
        <v>29345.544798914809</v>
      </c>
      <c r="I59" s="10">
        <f t="shared" si="0"/>
        <v>467022.53950792714</v>
      </c>
      <c r="J59" s="10">
        <v>220738.04823253522</v>
      </c>
      <c r="K59" s="10">
        <f t="shared" si="1"/>
        <v>2446773.389975986</v>
      </c>
      <c r="L59" s="12"/>
    </row>
    <row r="60" spans="1:12" x14ac:dyDescent="0.25">
      <c r="A60" s="7">
        <v>1918</v>
      </c>
      <c r="B60" s="8">
        <f>[1]Producción!O60</f>
        <v>3183364.5031280313</v>
      </c>
      <c r="C60" s="10">
        <v>883631.34019930288</v>
      </c>
      <c r="D60" s="10">
        <v>765767.97544357507</v>
      </c>
      <c r="E60" s="10">
        <f t="shared" si="2"/>
        <v>117863.36475572782</v>
      </c>
      <c r="F60" s="11">
        <v>110133.18398633217</v>
      </c>
      <c r="G60" s="10">
        <v>348287.72944108839</v>
      </c>
      <c r="H60" s="10">
        <v>33022.709677246829</v>
      </c>
      <c r="I60" s="10">
        <f t="shared" si="0"/>
        <v>491443.62310466735</v>
      </c>
      <c r="J60" s="10">
        <v>216146.23942266591</v>
      </c>
      <c r="K60" s="10">
        <f t="shared" si="1"/>
        <v>2357911.2758449703</v>
      </c>
      <c r="L60" s="12"/>
    </row>
    <row r="61" spans="1:12" x14ac:dyDescent="0.25">
      <c r="A61" s="7">
        <v>1919</v>
      </c>
      <c r="B61" s="8">
        <f>[1]Producción!O61</f>
        <v>2862136.7727876273</v>
      </c>
      <c r="C61" s="10">
        <v>325425.99290704192</v>
      </c>
      <c r="D61" s="10">
        <v>566860.47642537428</v>
      </c>
      <c r="E61" s="10">
        <f t="shared" si="2"/>
        <v>-241434.48351833236</v>
      </c>
      <c r="F61" s="11">
        <v>125315.08294915187</v>
      </c>
      <c r="G61" s="10">
        <v>336914.41844353918</v>
      </c>
      <c r="H61" s="10">
        <v>-13331.134570103233</v>
      </c>
      <c r="I61" s="10">
        <f t="shared" si="0"/>
        <v>448898.36682258779</v>
      </c>
      <c r="J61" s="10">
        <v>226364.93775554595</v>
      </c>
      <c r="K61" s="10">
        <f t="shared" si="1"/>
        <v>2428307.9517278261</v>
      </c>
      <c r="L61" s="12"/>
    </row>
    <row r="62" spans="1:12" x14ac:dyDescent="0.25">
      <c r="A62" s="7">
        <v>1920</v>
      </c>
      <c r="B62" s="8">
        <f>[1]Producción!O62</f>
        <v>3014723.2982535898</v>
      </c>
      <c r="C62" s="10">
        <v>655511.22861564404</v>
      </c>
      <c r="D62" s="10">
        <v>514085.96648929251</v>
      </c>
      <c r="E62" s="10">
        <f t="shared" si="2"/>
        <v>141425.26212635153</v>
      </c>
      <c r="F62" s="11">
        <v>107445.37954035672</v>
      </c>
      <c r="G62" s="10">
        <v>366665.11815477262</v>
      </c>
      <c r="H62" s="10">
        <v>-25586.406514010727</v>
      </c>
      <c r="I62" s="10">
        <f t="shared" si="0"/>
        <v>448524.09118111862</v>
      </c>
      <c r="J62" s="10">
        <v>236310.70266699255</v>
      </c>
      <c r="K62" s="10">
        <f t="shared" si="1"/>
        <v>2188463.2422791272</v>
      </c>
      <c r="L62" s="12"/>
    </row>
    <row r="63" spans="1:12" x14ac:dyDescent="0.25">
      <c r="A63" s="7">
        <v>1921</v>
      </c>
      <c r="B63" s="8">
        <f>[1]Producción!O63</f>
        <v>2784015.250498198</v>
      </c>
      <c r="C63" s="10">
        <v>417112.01602640707</v>
      </c>
      <c r="D63" s="10">
        <v>515966.11397195933</v>
      </c>
      <c r="E63" s="10">
        <f t="shared" si="2"/>
        <v>-98854.097945552261</v>
      </c>
      <c r="F63" s="11">
        <v>86371.150641787579</v>
      </c>
      <c r="G63" s="10">
        <v>357058.25469868537</v>
      </c>
      <c r="H63" s="10">
        <v>14301.139509413444</v>
      </c>
      <c r="I63" s="10">
        <f t="shared" si="0"/>
        <v>457730.54484988638</v>
      </c>
      <c r="J63" s="10">
        <v>276766.89437602396</v>
      </c>
      <c r="K63" s="10">
        <f t="shared" si="1"/>
        <v>2148371.9092178401</v>
      </c>
      <c r="L63" s="12"/>
    </row>
    <row r="64" spans="1:12" x14ac:dyDescent="0.25">
      <c r="A64" s="7">
        <v>1922</v>
      </c>
      <c r="B64" s="8">
        <f>[1]Producción!O64</f>
        <v>2795460.2925404222</v>
      </c>
      <c r="C64" s="10">
        <v>470848.87518727384</v>
      </c>
      <c r="D64" s="10">
        <v>497893.36038978532</v>
      </c>
      <c r="E64" s="10">
        <f t="shared" si="2"/>
        <v>-27044.485202511481</v>
      </c>
      <c r="F64" s="11">
        <v>90883.431806492357</v>
      </c>
      <c r="G64" s="10">
        <v>335096.63298302161</v>
      </c>
      <c r="H64" s="10">
        <v>-32152.695642220016</v>
      </c>
      <c r="I64" s="10">
        <f t="shared" si="0"/>
        <v>393827.36914729391</v>
      </c>
      <c r="J64" s="10">
        <v>290201.50005666859</v>
      </c>
      <c r="K64" s="10">
        <f t="shared" si="1"/>
        <v>2138475.9085389711</v>
      </c>
      <c r="L64" s="12"/>
    </row>
    <row r="65" spans="1:12" x14ac:dyDescent="0.25">
      <c r="A65" s="7">
        <v>1923</v>
      </c>
      <c r="B65" s="8">
        <f>[1]Producción!O65</f>
        <v>3193418.3832870666</v>
      </c>
      <c r="C65" s="10">
        <v>673243.16182641697</v>
      </c>
      <c r="D65" s="10">
        <v>703014.42770644708</v>
      </c>
      <c r="E65" s="10">
        <f t="shared" si="2"/>
        <v>-29771.265880030114</v>
      </c>
      <c r="F65" s="11">
        <v>120764.37695548619</v>
      </c>
      <c r="G65" s="10">
        <v>380961.73876507586</v>
      </c>
      <c r="H65" s="10">
        <v>29509.113496659713</v>
      </c>
      <c r="I65" s="10">
        <f t="shared" si="0"/>
        <v>531235.22921722173</v>
      </c>
      <c r="J65" s="10">
        <v>312969.25371688482</v>
      </c>
      <c r="K65" s="10">
        <f t="shared" si="1"/>
        <v>2378985.1662329901</v>
      </c>
      <c r="L65" s="12"/>
    </row>
    <row r="66" spans="1:12" x14ac:dyDescent="0.25">
      <c r="A66" s="7">
        <v>1924</v>
      </c>
      <c r="B66" s="8">
        <f>[1]Producción!O66</f>
        <v>3508299.325508568</v>
      </c>
      <c r="C66" s="10">
        <v>775951.47272363387</v>
      </c>
      <c r="D66" s="10">
        <v>781280.68488926243</v>
      </c>
      <c r="E66" s="10">
        <f t="shared" si="2"/>
        <v>-5329.2121656285599</v>
      </c>
      <c r="F66" s="11">
        <v>146305.41930353129</v>
      </c>
      <c r="G66" s="10">
        <v>368178.89467992552</v>
      </c>
      <c r="H66" s="10">
        <v>-39449.854913885072</v>
      </c>
      <c r="I66" s="10">
        <f t="shared" ref="I66:I81" si="3">F66+G66+H66</f>
        <v>475034.45906957175</v>
      </c>
      <c r="J66" s="10">
        <v>344701.77344156383</v>
      </c>
      <c r="K66" s="10">
        <f t="shared" ref="K66:K129" si="4">B66-(E66+I66+J66)</f>
        <v>2693892.3051630612</v>
      </c>
      <c r="L66" s="12"/>
    </row>
    <row r="67" spans="1:12" x14ac:dyDescent="0.25">
      <c r="A67" s="7">
        <v>1925</v>
      </c>
      <c r="B67" s="8">
        <f>[1]Producción!O67</f>
        <v>3655890.4738887111</v>
      </c>
      <c r="C67" s="10">
        <v>724036.85273657495</v>
      </c>
      <c r="D67" s="10">
        <v>964051.19444169255</v>
      </c>
      <c r="E67" s="10">
        <f t="shared" ref="E67:E130" si="5">C67-D67</f>
        <v>-240014.34170511761</v>
      </c>
      <c r="F67" s="11">
        <v>153961.42828819391</v>
      </c>
      <c r="G67" s="10">
        <v>474375.37890494539</v>
      </c>
      <c r="H67" s="10">
        <v>-43722.092693262326</v>
      </c>
      <c r="I67" s="10">
        <f t="shared" si="3"/>
        <v>584614.71449987707</v>
      </c>
      <c r="J67" s="10">
        <v>373527.21445473889</v>
      </c>
      <c r="K67" s="10">
        <f t="shared" si="4"/>
        <v>2937762.8866392127</v>
      </c>
      <c r="L67" s="12"/>
    </row>
    <row r="68" spans="1:12" x14ac:dyDescent="0.25">
      <c r="A68" s="7">
        <v>1926</v>
      </c>
      <c r="B68" s="8">
        <f>[1]Producción!O68</f>
        <v>3628822.0542803332</v>
      </c>
      <c r="C68" s="10">
        <v>693761.17677542428</v>
      </c>
      <c r="D68" s="10">
        <v>1298301.151336656</v>
      </c>
      <c r="E68" s="10">
        <f t="shared" si="5"/>
        <v>-604539.97456123168</v>
      </c>
      <c r="F68" s="11">
        <v>204320.12854258335</v>
      </c>
      <c r="G68" s="10">
        <v>420952.05639271124</v>
      </c>
      <c r="H68" s="10">
        <v>192592.83376514117</v>
      </c>
      <c r="I68" s="10">
        <f t="shared" si="3"/>
        <v>817865.01870043576</v>
      </c>
      <c r="J68" s="10">
        <v>416132.80767130048</v>
      </c>
      <c r="K68" s="10">
        <f t="shared" si="4"/>
        <v>2999364.2024698285</v>
      </c>
      <c r="L68" s="12"/>
    </row>
    <row r="69" spans="1:12" x14ac:dyDescent="0.25">
      <c r="A69" s="7">
        <v>1927</v>
      </c>
      <c r="B69" s="8">
        <f>[1]Producción!O69</f>
        <v>3708732.2177632162</v>
      </c>
      <c r="C69" s="10">
        <v>768244.47101996827</v>
      </c>
      <c r="D69" s="10">
        <v>903249.351807356</v>
      </c>
      <c r="E69" s="10">
        <f t="shared" si="5"/>
        <v>-135004.88078738772</v>
      </c>
      <c r="F69" s="11">
        <v>149941.9975488045</v>
      </c>
      <c r="G69" s="10">
        <v>481058.53009651438</v>
      </c>
      <c r="H69" s="10">
        <v>-101259.0431983696</v>
      </c>
      <c r="I69" s="10">
        <f t="shared" si="3"/>
        <v>529741.48444694933</v>
      </c>
      <c r="J69" s="10">
        <v>443649.97322622495</v>
      </c>
      <c r="K69" s="10">
        <f t="shared" si="4"/>
        <v>2870345.6408774294</v>
      </c>
      <c r="L69" s="12"/>
    </row>
    <row r="70" spans="1:12" x14ac:dyDescent="0.25">
      <c r="A70" s="7">
        <v>1928</v>
      </c>
      <c r="B70" s="8">
        <f>[1]Producción!O70</f>
        <v>4166144.1037279209</v>
      </c>
      <c r="C70" s="10">
        <v>910865.3315663992</v>
      </c>
      <c r="D70" s="10">
        <v>967197.91058894224</v>
      </c>
      <c r="E70" s="10">
        <f t="shared" si="5"/>
        <v>-56332.579022543039</v>
      </c>
      <c r="F70" s="11">
        <v>88100.618083692083</v>
      </c>
      <c r="G70" s="10">
        <v>503563.05963840429</v>
      </c>
      <c r="H70" s="10">
        <v>-70170.123391879461</v>
      </c>
      <c r="I70" s="10">
        <f t="shared" si="3"/>
        <v>521493.55433021684</v>
      </c>
      <c r="J70" s="10">
        <v>456099.4838971236</v>
      </c>
      <c r="K70" s="10">
        <f t="shared" si="4"/>
        <v>3244883.6445231233</v>
      </c>
      <c r="L70" s="12"/>
    </row>
    <row r="71" spans="1:12" x14ac:dyDescent="0.25">
      <c r="A71" s="7">
        <v>1929</v>
      </c>
      <c r="B71" s="8">
        <f>[1]Producción!O71</f>
        <v>4359248.1779059414</v>
      </c>
      <c r="C71" s="10">
        <v>949893.90738369513</v>
      </c>
      <c r="D71" s="10">
        <v>1243141.7237774336</v>
      </c>
      <c r="E71" s="10">
        <f t="shared" si="5"/>
        <v>-293247.8163937385</v>
      </c>
      <c r="F71" s="11">
        <v>276265.67565809441</v>
      </c>
      <c r="G71" s="10">
        <v>513591.88236932945</v>
      </c>
      <c r="H71" s="10">
        <v>70351.708137466019</v>
      </c>
      <c r="I71" s="10">
        <f t="shared" si="3"/>
        <v>860209.26616488991</v>
      </c>
      <c r="J71" s="10">
        <v>446195.30594256002</v>
      </c>
      <c r="K71" s="10">
        <f t="shared" si="4"/>
        <v>3346091.4221922299</v>
      </c>
      <c r="L71" s="12"/>
    </row>
    <row r="72" spans="1:12" x14ac:dyDescent="0.25">
      <c r="A72" s="7">
        <v>1930</v>
      </c>
      <c r="B72" s="8">
        <f>[1]Producción!O72</f>
        <v>4174087.2904357333</v>
      </c>
      <c r="C72" s="10">
        <v>622671.96334153961</v>
      </c>
      <c r="D72" s="10">
        <v>1126463.166532588</v>
      </c>
      <c r="E72" s="10">
        <f t="shared" si="5"/>
        <v>-503791.20319104835</v>
      </c>
      <c r="F72" s="11">
        <v>253801.37246469382</v>
      </c>
      <c r="G72" s="10">
        <v>546251.20201646059</v>
      </c>
      <c r="H72" s="10">
        <v>87949.075919297262</v>
      </c>
      <c r="I72" s="10">
        <f t="shared" si="3"/>
        <v>888001.65040045173</v>
      </c>
      <c r="J72" s="10">
        <v>470168.1247622915</v>
      </c>
      <c r="K72" s="10">
        <f t="shared" si="4"/>
        <v>3319708.7184640383</v>
      </c>
      <c r="L72" s="12"/>
    </row>
    <row r="73" spans="1:12" x14ac:dyDescent="0.25">
      <c r="A73" s="7">
        <v>1931</v>
      </c>
      <c r="B73" s="8">
        <f>[1]Producción!O73</f>
        <v>3593283.4709406565</v>
      </c>
      <c r="C73" s="10">
        <v>538885.34573424142</v>
      </c>
      <c r="D73" s="10">
        <v>583620.65890264581</v>
      </c>
      <c r="E73" s="10">
        <f t="shared" si="5"/>
        <v>-44735.313168404391</v>
      </c>
      <c r="F73" s="11">
        <v>125193.6888542667</v>
      </c>
      <c r="G73" s="10">
        <v>559301.64717875433</v>
      </c>
      <c r="H73" s="10">
        <v>293.81047919563736</v>
      </c>
      <c r="I73" s="10">
        <f t="shared" si="3"/>
        <v>684789.14651221666</v>
      </c>
      <c r="J73" s="10">
        <v>402387.28680113039</v>
      </c>
      <c r="K73" s="10">
        <f t="shared" si="4"/>
        <v>2550842.3507957137</v>
      </c>
      <c r="L73" s="12"/>
    </row>
    <row r="74" spans="1:12" x14ac:dyDescent="0.25">
      <c r="A74" s="7">
        <v>1932</v>
      </c>
      <c r="B74" s="8">
        <f>[1]Producción!O74</f>
        <v>2938088.7446062607</v>
      </c>
      <c r="C74" s="10">
        <v>258938.41533096787</v>
      </c>
      <c r="D74" s="10">
        <v>211408.59151629556</v>
      </c>
      <c r="E74" s="10">
        <f t="shared" si="5"/>
        <v>47529.823814672302</v>
      </c>
      <c r="F74" s="11">
        <v>16702.402969729159</v>
      </c>
      <c r="G74" s="10">
        <v>466864.44454622961</v>
      </c>
      <c r="H74" s="10">
        <v>-56843.807013199279</v>
      </c>
      <c r="I74" s="10">
        <f t="shared" si="3"/>
        <v>426723.04050275951</v>
      </c>
      <c r="J74" s="10">
        <v>312180.49561756907</v>
      </c>
      <c r="K74" s="10">
        <f t="shared" si="4"/>
        <v>2151655.3846712597</v>
      </c>
      <c r="L74" s="12"/>
    </row>
    <row r="75" spans="1:12" x14ac:dyDescent="0.25">
      <c r="A75" s="7">
        <v>1933</v>
      </c>
      <c r="B75" s="8">
        <f>[1]Producción!O75</f>
        <v>3093509.6573582659</v>
      </c>
      <c r="C75" s="10">
        <v>398571.89072626317</v>
      </c>
      <c r="D75" s="10">
        <v>210080.97914081762</v>
      </c>
      <c r="E75" s="10">
        <f t="shared" si="5"/>
        <v>188490.91158544554</v>
      </c>
      <c r="F75" s="11">
        <v>12678.942576231204</v>
      </c>
      <c r="G75" s="10">
        <v>506335.22346274578</v>
      </c>
      <c r="H75" s="10">
        <v>-18778.442462123032</v>
      </c>
      <c r="I75" s="10">
        <f t="shared" si="3"/>
        <v>500235.72357685392</v>
      </c>
      <c r="J75" s="10">
        <v>306839.12760398496</v>
      </c>
      <c r="K75" s="10">
        <f t="shared" si="4"/>
        <v>2097943.8945919815</v>
      </c>
      <c r="L75" s="12"/>
    </row>
    <row r="76" spans="1:12" x14ac:dyDescent="0.25">
      <c r="A76" s="7">
        <v>1934</v>
      </c>
      <c r="B76" s="8">
        <f>[1]Producción!O76</f>
        <v>3535501.6524094115</v>
      </c>
      <c r="C76" s="10">
        <v>637862.3922045012</v>
      </c>
      <c r="D76" s="10">
        <v>312007.46211782325</v>
      </c>
      <c r="E76" s="10">
        <f t="shared" si="5"/>
        <v>325854.93008667795</v>
      </c>
      <c r="F76" s="11">
        <v>22774.679703440157</v>
      </c>
      <c r="G76" s="10">
        <v>501853.85253424698</v>
      </c>
      <c r="H76" s="10">
        <v>1415.8596744308454</v>
      </c>
      <c r="I76" s="10">
        <f t="shared" si="3"/>
        <v>526044.39191211795</v>
      </c>
      <c r="J76" s="10">
        <v>381070.32030367007</v>
      </c>
      <c r="K76" s="10">
        <f t="shared" si="4"/>
        <v>2302532.0101069454</v>
      </c>
      <c r="L76" s="12"/>
    </row>
    <row r="77" spans="1:12" x14ac:dyDescent="0.25">
      <c r="A77" s="7">
        <v>1935</v>
      </c>
      <c r="B77" s="8">
        <f>[1]Producción!O77</f>
        <v>3847985.8221308007</v>
      </c>
      <c r="C77" s="10">
        <v>649490.15128796885</v>
      </c>
      <c r="D77" s="10">
        <v>420842.5492173743</v>
      </c>
      <c r="E77" s="10">
        <f t="shared" si="5"/>
        <v>228647.60207059456</v>
      </c>
      <c r="F77" s="11">
        <v>40629.425732382508</v>
      </c>
      <c r="G77" s="10">
        <v>531449.90801429667</v>
      </c>
      <c r="H77" s="10">
        <v>8277.0107261632693</v>
      </c>
      <c r="I77" s="10">
        <f t="shared" si="3"/>
        <v>580356.34447284241</v>
      </c>
      <c r="J77" s="10">
        <v>457169.81886758743</v>
      </c>
      <c r="K77" s="10">
        <f t="shared" si="4"/>
        <v>2581812.0567197762</v>
      </c>
      <c r="L77" s="12"/>
    </row>
    <row r="78" spans="1:12" x14ac:dyDescent="0.25">
      <c r="A78" s="7">
        <v>1936</v>
      </c>
      <c r="B78" s="8">
        <f>[1]Producción!O78</f>
        <v>4049570.1486049797</v>
      </c>
      <c r="C78" s="10">
        <v>674482.62579040765</v>
      </c>
      <c r="D78" s="10">
        <v>472973.66571071005</v>
      </c>
      <c r="E78" s="10">
        <f t="shared" si="5"/>
        <v>201508.9600796976</v>
      </c>
      <c r="F78" s="11">
        <v>54273.583667774212</v>
      </c>
      <c r="G78" s="10">
        <v>535332.98057907203</v>
      </c>
      <c r="H78" s="10">
        <v>7865.3465601410762</v>
      </c>
      <c r="I78" s="10">
        <f t="shared" si="3"/>
        <v>597471.91080698732</v>
      </c>
      <c r="J78" s="10">
        <v>481134.17390731239</v>
      </c>
      <c r="K78" s="10">
        <f t="shared" si="4"/>
        <v>2769455.1038109828</v>
      </c>
      <c r="L78" s="12"/>
    </row>
    <row r="79" spans="1:12" x14ac:dyDescent="0.25">
      <c r="A79" s="7">
        <v>1937</v>
      </c>
      <c r="B79" s="8">
        <f>[1]Producción!O79</f>
        <v>4441881.7584913513</v>
      </c>
      <c r="C79" s="10">
        <v>886997.31949726865</v>
      </c>
      <c r="D79" s="10">
        <v>530652.45344652946</v>
      </c>
      <c r="E79" s="10">
        <f t="shared" si="5"/>
        <v>356344.86605073919</v>
      </c>
      <c r="F79" s="11">
        <v>57812.61056152852</v>
      </c>
      <c r="G79" s="10">
        <v>546387.78188873699</v>
      </c>
      <c r="H79" s="10">
        <v>-10959.278027877681</v>
      </c>
      <c r="I79" s="10">
        <f t="shared" si="3"/>
        <v>593241.11442238779</v>
      </c>
      <c r="J79" s="10">
        <v>508169.9358705164</v>
      </c>
      <c r="K79" s="10">
        <f t="shared" si="4"/>
        <v>2984125.8421477079</v>
      </c>
      <c r="L79" s="12"/>
    </row>
    <row r="80" spans="1:12" x14ac:dyDescent="0.25">
      <c r="A80" s="7">
        <v>1938</v>
      </c>
      <c r="B80" s="8">
        <f>[1]Producción!O80</f>
        <v>4547159.2057407275</v>
      </c>
      <c r="C80" s="10">
        <v>817919.27571890969</v>
      </c>
      <c r="D80" s="10">
        <v>603490.80978961359</v>
      </c>
      <c r="E80" s="10">
        <f t="shared" si="5"/>
        <v>214428.4659292961</v>
      </c>
      <c r="F80" s="11">
        <v>101870.36565901758</v>
      </c>
      <c r="G80" s="10">
        <v>576421.37490483653</v>
      </c>
      <c r="H80" s="11">
        <v>37799.559026238836</v>
      </c>
      <c r="I80" s="10">
        <f t="shared" si="3"/>
        <v>716091.29959009297</v>
      </c>
      <c r="J80" s="10">
        <v>575150.52311484166</v>
      </c>
      <c r="K80" s="10">
        <f t="shared" si="4"/>
        <v>3041488.9171064966</v>
      </c>
      <c r="L80" s="12"/>
    </row>
    <row r="81" spans="1:12" x14ac:dyDescent="0.25">
      <c r="A81" s="7">
        <v>1939</v>
      </c>
      <c r="B81" s="8">
        <f>[1]Producción!O81</f>
        <v>4652165.373641137</v>
      </c>
      <c r="C81" s="10">
        <v>746263.0498163522</v>
      </c>
      <c r="D81" s="10">
        <v>518149.11088784121</v>
      </c>
      <c r="E81" s="10">
        <f t="shared" si="5"/>
        <v>228113.93892851099</v>
      </c>
      <c r="F81" s="11">
        <v>79565.56453480279</v>
      </c>
      <c r="G81" s="10">
        <v>601327.04037728044</v>
      </c>
      <c r="H81" s="11">
        <v>-33064.180512715138</v>
      </c>
      <c r="I81" s="10">
        <f t="shared" si="3"/>
        <v>647828.42439936812</v>
      </c>
      <c r="J81" s="10">
        <v>593749.3442474755</v>
      </c>
      <c r="K81" s="10">
        <f t="shared" si="4"/>
        <v>3182473.6660657823</v>
      </c>
      <c r="L81" s="12"/>
    </row>
    <row r="82" spans="1:12" x14ac:dyDescent="0.25">
      <c r="A82" s="7">
        <v>1940</v>
      </c>
      <c r="B82" s="8">
        <f>[1]Producción!O82</f>
        <v>4894315.6896263948</v>
      </c>
      <c r="C82" s="10">
        <v>771963.90593612764</v>
      </c>
      <c r="D82" s="10">
        <v>582012.76459091436</v>
      </c>
      <c r="E82" s="10">
        <f t="shared" si="5"/>
        <v>189951.14134521328</v>
      </c>
      <c r="F82" s="10">
        <v>85435.387317610657</v>
      </c>
      <c r="G82" s="10">
        <v>596470</v>
      </c>
      <c r="H82" s="10">
        <v>8650.1016469419446</v>
      </c>
      <c r="I82" s="10">
        <v>690555.48896455264</v>
      </c>
      <c r="J82" s="10">
        <v>652961.77344895329</v>
      </c>
      <c r="K82" s="10">
        <f t="shared" si="4"/>
        <v>3360847.2858676757</v>
      </c>
      <c r="L82" s="12"/>
    </row>
    <row r="83" spans="1:12" x14ac:dyDescent="0.25">
      <c r="A83" s="7">
        <v>1941</v>
      </c>
      <c r="B83" s="8">
        <f>[1]Producción!O83</f>
        <v>4902179.7360683745</v>
      </c>
      <c r="C83" s="10">
        <v>859455.02087126265</v>
      </c>
      <c r="D83" s="10">
        <v>578138.07467532565</v>
      </c>
      <c r="E83" s="10">
        <f t="shared" si="5"/>
        <v>281316.94619593699</v>
      </c>
      <c r="F83" s="10">
        <v>81536.571924695862</v>
      </c>
      <c r="G83" s="10">
        <v>590749</v>
      </c>
      <c r="H83" s="10">
        <v>8528.0724292218219</v>
      </c>
      <c r="I83" s="10">
        <v>680813.64435391768</v>
      </c>
      <c r="J83" s="10">
        <v>750948.96923443896</v>
      </c>
      <c r="K83" s="10">
        <f t="shared" si="4"/>
        <v>3189100.1762840808</v>
      </c>
      <c r="L83" s="12"/>
    </row>
    <row r="84" spans="1:12" x14ac:dyDescent="0.25">
      <c r="A84" s="7">
        <v>1942</v>
      </c>
      <c r="B84" s="8">
        <f>[1]Producción!O84</f>
        <v>5063603.3322300715</v>
      </c>
      <c r="C84" s="10">
        <v>879238.94352602668</v>
      </c>
      <c r="D84" s="10">
        <v>538340.23646465025</v>
      </c>
      <c r="E84" s="10">
        <f t="shared" si="5"/>
        <v>340898.70706137642</v>
      </c>
      <c r="F84" s="10">
        <v>67028.241917600899</v>
      </c>
      <c r="G84" s="10">
        <v>467716</v>
      </c>
      <c r="H84" s="11">
        <v>6783.3340720473207</v>
      </c>
      <c r="I84" s="10">
        <v>541527.57598964823</v>
      </c>
      <c r="J84" s="10">
        <v>707482.57899005595</v>
      </c>
      <c r="K84" s="10">
        <f t="shared" si="4"/>
        <v>3473694.4701889912</v>
      </c>
      <c r="L84" s="12"/>
    </row>
    <row r="85" spans="1:12" x14ac:dyDescent="0.25">
      <c r="A85" s="7">
        <v>1943</v>
      </c>
      <c r="B85" s="8">
        <f>[1]Producción!O85</f>
        <v>5208526.4738036878</v>
      </c>
      <c r="C85" s="10">
        <v>842325.73443714262</v>
      </c>
      <c r="D85" s="10">
        <v>473842.07203744439</v>
      </c>
      <c r="E85" s="10">
        <f t="shared" si="5"/>
        <v>368483.66239969822</v>
      </c>
      <c r="F85" s="10">
        <v>67266.707952733152</v>
      </c>
      <c r="G85" s="10">
        <v>506838</v>
      </c>
      <c r="H85" s="11">
        <v>7282.6291918794159</v>
      </c>
      <c r="I85" s="10">
        <v>581387.33714461257</v>
      </c>
      <c r="J85" s="10">
        <v>783575.5930228153</v>
      </c>
      <c r="K85" s="10">
        <f t="shared" si="4"/>
        <v>3475079.8812365616</v>
      </c>
      <c r="L85" s="12"/>
    </row>
    <row r="86" spans="1:12" x14ac:dyDescent="0.25">
      <c r="A86" s="7">
        <v>1944</v>
      </c>
      <c r="B86" s="8">
        <f>[1]Producción!O86</f>
        <v>5307107.9131299267</v>
      </c>
      <c r="C86" s="10">
        <v>903555.62646309077</v>
      </c>
      <c r="D86" s="10">
        <v>486883.67046351905</v>
      </c>
      <c r="E86" s="10">
        <f t="shared" si="5"/>
        <v>416671.95599957171</v>
      </c>
      <c r="F86" s="10">
        <v>52088.136904634099</v>
      </c>
      <c r="G86" s="10">
        <v>593541</v>
      </c>
      <c r="H86" s="11">
        <v>8189.9303984399885</v>
      </c>
      <c r="I86" s="10">
        <v>653819.06730307406</v>
      </c>
      <c r="J86" s="10">
        <v>787439.27215564938</v>
      </c>
      <c r="K86" s="10">
        <f t="shared" si="4"/>
        <v>3449177.6176716313</v>
      </c>
      <c r="L86" s="12"/>
    </row>
    <row r="87" spans="1:12" x14ac:dyDescent="0.25">
      <c r="A87" s="7">
        <v>1945</v>
      </c>
      <c r="B87" s="8">
        <f>[1]Producción!O87</f>
        <v>5765048.1889744634</v>
      </c>
      <c r="C87" s="10">
        <v>955760.70352318464</v>
      </c>
      <c r="D87" s="10">
        <v>519109.13972343673</v>
      </c>
      <c r="E87" s="10">
        <f t="shared" si="5"/>
        <v>436651.56379974791</v>
      </c>
      <c r="F87" s="10">
        <v>64565.387317610657</v>
      </c>
      <c r="G87" s="10">
        <v>617340</v>
      </c>
      <c r="H87" s="11">
        <v>8650.1016469419701</v>
      </c>
      <c r="I87" s="10">
        <v>690555.48896455264</v>
      </c>
      <c r="J87" s="10">
        <v>960124.26450925972</v>
      </c>
      <c r="K87" s="10">
        <f t="shared" si="4"/>
        <v>3677716.8717009034</v>
      </c>
      <c r="L87" s="12"/>
    </row>
    <row r="88" spans="1:12" x14ac:dyDescent="0.25">
      <c r="A88" s="7">
        <v>1946</v>
      </c>
      <c r="B88" s="8">
        <f>[1]Producción!O88</f>
        <v>6258938.3914109031</v>
      </c>
      <c r="C88" s="10">
        <v>919567.68476429139</v>
      </c>
      <c r="D88" s="10">
        <v>541096.31165154325</v>
      </c>
      <c r="E88" s="10">
        <f t="shared" si="5"/>
        <v>378471.37311274814</v>
      </c>
      <c r="F88" s="10">
        <v>97988.883727308799</v>
      </c>
      <c r="G88" s="10">
        <v>846442</v>
      </c>
      <c r="H88" s="11">
        <v>11980.288313732599</v>
      </c>
      <c r="I88" s="10">
        <v>956411.17204104143</v>
      </c>
      <c r="J88" s="10">
        <v>1012069.2839618064</v>
      </c>
      <c r="K88" s="10">
        <f t="shared" si="4"/>
        <v>3911986.5622953069</v>
      </c>
      <c r="L88" s="12"/>
    </row>
    <row r="89" spans="1:12" x14ac:dyDescent="0.25">
      <c r="A89" s="7">
        <v>1947</v>
      </c>
      <c r="B89" s="8">
        <f>[1]Producción!O89</f>
        <v>5585719.8442171877</v>
      </c>
      <c r="C89" s="10">
        <v>832615.9424691773</v>
      </c>
      <c r="D89" s="10">
        <v>582855.64674178394</v>
      </c>
      <c r="E89" s="10">
        <f t="shared" si="5"/>
        <v>249760.29572739336</v>
      </c>
      <c r="F89" s="10">
        <v>166934.85797132712</v>
      </c>
      <c r="G89" s="10">
        <v>871124</v>
      </c>
      <c r="H89" s="11">
        <v>13167.97726482572</v>
      </c>
      <c r="I89" s="10">
        <v>1051226.8352361529</v>
      </c>
      <c r="J89" s="10">
        <v>966993.02741207602</v>
      </c>
      <c r="K89" s="10">
        <f t="shared" si="4"/>
        <v>3317739.6858415655</v>
      </c>
      <c r="L89" s="12"/>
    </row>
    <row r="90" spans="1:12" x14ac:dyDescent="0.25">
      <c r="A90" s="7">
        <v>1948</v>
      </c>
      <c r="B90" s="8">
        <f>[1]Producción!O90</f>
        <v>6512764.5332658542</v>
      </c>
      <c r="C90" s="10">
        <v>922501.70552207343</v>
      </c>
      <c r="D90" s="10">
        <v>580107.23965569295</v>
      </c>
      <c r="E90" s="10">
        <f t="shared" si="5"/>
        <v>342394.46586638049</v>
      </c>
      <c r="F90" s="10">
        <v>159160.30249816561</v>
      </c>
      <c r="G90" s="10">
        <v>762653</v>
      </c>
      <c r="H90" s="11">
        <v>11693.379923978238</v>
      </c>
      <c r="I90" s="10">
        <v>933506.68242214387</v>
      </c>
      <c r="J90" s="10">
        <v>968924.86697849282</v>
      </c>
      <c r="K90" s="10">
        <f t="shared" si="4"/>
        <v>4267938.5179988369</v>
      </c>
      <c r="L90" s="12"/>
    </row>
    <row r="91" spans="1:12" x14ac:dyDescent="0.25">
      <c r="A91" s="7">
        <v>1949</v>
      </c>
      <c r="B91" s="8">
        <f>[1]Producción!O91</f>
        <v>6372124.4884151034</v>
      </c>
      <c r="C91" s="10">
        <v>723684.7085203483</v>
      </c>
      <c r="D91" s="10">
        <v>624738.08817289467</v>
      </c>
      <c r="E91" s="10">
        <f t="shared" si="5"/>
        <v>98946.620347453631</v>
      </c>
      <c r="F91" s="10">
        <v>194642.2731350009</v>
      </c>
      <c r="G91" s="10">
        <v>859572</v>
      </c>
      <c r="H91" s="11">
        <v>13372.911828935845</v>
      </c>
      <c r="I91" s="10">
        <v>1067587.1849639367</v>
      </c>
      <c r="J91" s="10">
        <v>1005844.4675811293</v>
      </c>
      <c r="K91" s="10">
        <f t="shared" si="4"/>
        <v>4199746.2155225836</v>
      </c>
      <c r="L91" s="12"/>
    </row>
    <row r="92" spans="1:12" x14ac:dyDescent="0.25">
      <c r="A92" s="7">
        <v>1950</v>
      </c>
      <c r="B92" s="8">
        <f>[1]Producción!O92</f>
        <v>6686124.6284912704</v>
      </c>
      <c r="C92" s="10">
        <v>825253.97038114863</v>
      </c>
      <c r="D92" s="10">
        <v>596816.99582798942</v>
      </c>
      <c r="E92" s="10">
        <f t="shared" si="5"/>
        <v>228436.97455315921</v>
      </c>
      <c r="F92" s="10">
        <v>177958.32990605346</v>
      </c>
      <c r="G92" s="10">
        <v>795332</v>
      </c>
      <c r="H92" s="11">
        <v>12346.375966893043</v>
      </c>
      <c r="I92" s="10">
        <v>985636.70587294654</v>
      </c>
      <c r="J92" s="10">
        <v>1016576.9096167794</v>
      </c>
      <c r="K92" s="10">
        <f t="shared" si="4"/>
        <v>4455474.038448385</v>
      </c>
      <c r="L92" s="12"/>
    </row>
    <row r="93" spans="1:12" x14ac:dyDescent="0.25">
      <c r="A93" s="7">
        <v>1951</v>
      </c>
      <c r="B93" s="8">
        <f>[1]Producción!O93</f>
        <v>6977024.1321441252</v>
      </c>
      <c r="C93" s="10">
        <v>811843.87411759631</v>
      </c>
      <c r="D93" s="10">
        <v>722268.29729008244</v>
      </c>
      <c r="E93" s="10">
        <f t="shared" si="5"/>
        <v>89575.576827513869</v>
      </c>
      <c r="F93" s="10">
        <v>223595.01058570322</v>
      </c>
      <c r="G93" s="10">
        <v>884079</v>
      </c>
      <c r="H93" s="11">
        <v>14051.058931991458</v>
      </c>
      <c r="I93" s="10">
        <v>1121725.0695176946</v>
      </c>
      <c r="J93" s="10">
        <v>1065624.1697197002</v>
      </c>
      <c r="K93" s="10">
        <f t="shared" si="4"/>
        <v>4700099.3160792161</v>
      </c>
      <c r="L93" s="12"/>
    </row>
    <row r="94" spans="1:12" x14ac:dyDescent="0.25">
      <c r="A94" s="7">
        <v>1952</v>
      </c>
      <c r="B94" s="8">
        <f>[1]Producción!O94</f>
        <v>7426608.858644058</v>
      </c>
      <c r="C94" s="10">
        <v>860422.57430245623</v>
      </c>
      <c r="D94" s="10">
        <v>740648.98827249568</v>
      </c>
      <c r="E94" s="10">
        <f t="shared" si="5"/>
        <v>119773.58602996054</v>
      </c>
      <c r="F94" s="10">
        <v>230257.73687772267</v>
      </c>
      <c r="G94" s="10">
        <v>928673</v>
      </c>
      <c r="H94" s="11">
        <v>14701.260412668344</v>
      </c>
      <c r="I94" s="10">
        <v>1173631.997290391</v>
      </c>
      <c r="J94" s="10">
        <v>1225537.5560508873</v>
      </c>
      <c r="K94" s="10">
        <f t="shared" si="4"/>
        <v>4907665.7192728193</v>
      </c>
      <c r="L94" s="12"/>
    </row>
    <row r="95" spans="1:12" x14ac:dyDescent="0.25">
      <c r="A95" s="7">
        <v>1953</v>
      </c>
      <c r="B95" s="8">
        <f>[1]Producción!O95</f>
        <v>7986500.8794328226</v>
      </c>
      <c r="C95" s="10">
        <v>663539.4656232869</v>
      </c>
      <c r="D95" s="10">
        <v>735366.91749231017</v>
      </c>
      <c r="E95" s="10">
        <f t="shared" si="5"/>
        <v>-71827.451869023265</v>
      </c>
      <c r="F95" s="10">
        <v>187035.26231345176</v>
      </c>
      <c r="G95" s="10">
        <v>983498</v>
      </c>
      <c r="H95" s="11">
        <v>14848.440690529416</v>
      </c>
      <c r="I95" s="10">
        <v>1185381.7030039812</v>
      </c>
      <c r="J95" s="10">
        <v>1433210.3094407173</v>
      </c>
      <c r="K95" s="10">
        <f t="shared" si="4"/>
        <v>5439736.3188571474</v>
      </c>
      <c r="L95" s="12"/>
    </row>
    <row r="96" spans="1:12" x14ac:dyDescent="0.25">
      <c r="A96" s="7">
        <v>1954</v>
      </c>
      <c r="B96" s="8">
        <f>[1]Producción!O96</f>
        <v>7727829.9232520089</v>
      </c>
      <c r="C96" s="10">
        <v>772167.50049484917</v>
      </c>
      <c r="D96" s="10">
        <v>723020.81429103378</v>
      </c>
      <c r="E96" s="10">
        <f t="shared" si="5"/>
        <v>49146.686203815392</v>
      </c>
      <c r="F96" s="10">
        <v>155607.7107846071</v>
      </c>
      <c r="G96" s="10">
        <v>978429</v>
      </c>
      <c r="H96" s="11">
        <v>14385.474879789399</v>
      </c>
      <c r="I96" s="10">
        <v>1148422.1856643965</v>
      </c>
      <c r="J96" s="10">
        <v>1348638.6661997938</v>
      </c>
      <c r="K96" s="10">
        <f t="shared" si="4"/>
        <v>5181622.385184003</v>
      </c>
      <c r="L96" s="12"/>
    </row>
    <row r="97" spans="1:12" x14ac:dyDescent="0.25">
      <c r="A97" s="7">
        <v>1955</v>
      </c>
      <c r="B97" s="8">
        <f>[1]Producción!O97</f>
        <v>8018659.212204488</v>
      </c>
      <c r="C97" s="10">
        <v>864440.58398502774</v>
      </c>
      <c r="D97" s="10">
        <v>845842.11783497664</v>
      </c>
      <c r="E97" s="10">
        <f t="shared" si="5"/>
        <v>18598.466150051099</v>
      </c>
      <c r="F97" s="10">
        <v>204887.08428022778</v>
      </c>
      <c r="G97" s="10">
        <v>1108181</v>
      </c>
      <c r="H97" s="11">
        <v>16656.52245842875</v>
      </c>
      <c r="I97" s="10">
        <v>1329724.6067386565</v>
      </c>
      <c r="J97" s="10">
        <v>1440723.0188656722</v>
      </c>
      <c r="K97" s="10">
        <f t="shared" si="4"/>
        <v>5229613.1204501083</v>
      </c>
      <c r="L97" s="12"/>
    </row>
    <row r="98" spans="1:12" x14ac:dyDescent="0.25">
      <c r="A98" s="7">
        <v>1956</v>
      </c>
      <c r="B98" s="8">
        <f>[1]Producción!O98</f>
        <v>8153260.7928230055</v>
      </c>
      <c r="C98" s="10">
        <v>800682.92096003157</v>
      </c>
      <c r="D98" s="10">
        <v>823209.12454221514</v>
      </c>
      <c r="E98" s="10">
        <f t="shared" si="5"/>
        <v>-22526.203582183574</v>
      </c>
      <c r="F98" s="10">
        <v>287848.73590008373</v>
      </c>
      <c r="G98" s="10">
        <v>963021</v>
      </c>
      <c r="H98" s="11">
        <v>15867.524386604549</v>
      </c>
      <c r="I98" s="10">
        <v>1266737.2602866883</v>
      </c>
      <c r="J98" s="10">
        <v>1387168.1331077779</v>
      </c>
      <c r="K98" s="10">
        <f t="shared" si="4"/>
        <v>5521881.6030107224</v>
      </c>
      <c r="L98" s="12"/>
    </row>
    <row r="99" spans="1:12" x14ac:dyDescent="0.25">
      <c r="A99" s="7">
        <v>1957</v>
      </c>
      <c r="B99" s="8">
        <f>[1]Producción!O99</f>
        <v>8989939.1624892876</v>
      </c>
      <c r="C99" s="10">
        <v>815897.17307192751</v>
      </c>
      <c r="D99" s="10">
        <v>955705.01460124762</v>
      </c>
      <c r="E99" s="10">
        <f t="shared" si="5"/>
        <v>-139807.84152932011</v>
      </c>
      <c r="F99" s="10">
        <v>463816.31385917775</v>
      </c>
      <c r="G99" s="10">
        <v>966966</v>
      </c>
      <c r="H99" s="11">
        <v>18149.750214195345</v>
      </c>
      <c r="I99" s="10">
        <v>1448932.0640733731</v>
      </c>
      <c r="J99" s="10">
        <v>1475603.4554815351</v>
      </c>
      <c r="K99" s="10">
        <f t="shared" si="4"/>
        <v>6205211.4844636992</v>
      </c>
      <c r="L99" s="12"/>
    </row>
    <row r="100" spans="1:12" x14ac:dyDescent="0.25">
      <c r="A100" s="7">
        <v>1958</v>
      </c>
      <c r="B100" s="8">
        <f>[1]Producción!O100</f>
        <v>9483618.720824603</v>
      </c>
      <c r="C100" s="10">
        <v>823985.40527979971</v>
      </c>
      <c r="D100" s="10">
        <v>891160.89675012056</v>
      </c>
      <c r="E100" s="10">
        <f t="shared" si="5"/>
        <v>-67175.491470320849</v>
      </c>
      <c r="F100" s="10">
        <v>477406.73263003438</v>
      </c>
      <c r="G100" s="10">
        <v>930758</v>
      </c>
      <c r="H100" s="11">
        <v>17862.841824440984</v>
      </c>
      <c r="I100" s="10">
        <v>1426027.5744544754</v>
      </c>
      <c r="J100" s="10">
        <v>1638843.8988437734</v>
      </c>
      <c r="K100" s="10">
        <f t="shared" si="4"/>
        <v>6485922.7389966752</v>
      </c>
      <c r="L100" s="12"/>
    </row>
    <row r="101" spans="1:12" x14ac:dyDescent="0.25">
      <c r="A101" s="7">
        <v>1959</v>
      </c>
      <c r="B101" s="8">
        <f>[1]Producción!O101</f>
        <v>8946686.907058401</v>
      </c>
      <c r="C101" s="10">
        <v>956690.75705697818</v>
      </c>
      <c r="D101" s="10">
        <v>904427.21867964568</v>
      </c>
      <c r="E101" s="10">
        <f t="shared" si="5"/>
        <v>52263.538377332501</v>
      </c>
      <c r="F101" s="10">
        <v>257997.31696066033</v>
      </c>
      <c r="G101" s="10">
        <v>956229</v>
      </c>
      <c r="H101" s="11">
        <v>15402.695534372702</v>
      </c>
      <c r="I101" s="10">
        <v>1229629.012495033</v>
      </c>
      <c r="J101" s="10">
        <v>1665353.0306718291</v>
      </c>
      <c r="K101" s="10">
        <f t="shared" si="4"/>
        <v>5999441.3255142067</v>
      </c>
      <c r="L101" s="12"/>
    </row>
    <row r="102" spans="1:12" x14ac:dyDescent="0.25">
      <c r="A102" s="7">
        <v>1960</v>
      </c>
      <c r="B102" s="8">
        <f>[1]Producción!O102</f>
        <v>9688926.5047205575</v>
      </c>
      <c r="C102" s="10">
        <v>951180.49613340409</v>
      </c>
      <c r="D102" s="10">
        <v>1217845.9497959046</v>
      </c>
      <c r="E102" s="10">
        <f t="shared" si="5"/>
        <v>-266665.45366250048</v>
      </c>
      <c r="F102" s="10">
        <v>313580.96729950694</v>
      </c>
      <c r="G102" s="10">
        <v>1259369</v>
      </c>
      <c r="H102" s="11">
        <v>19953.174378365045</v>
      </c>
      <c r="I102" s="10">
        <v>1592903.141677872</v>
      </c>
      <c r="J102" s="10">
        <v>1777292.40110366</v>
      </c>
      <c r="K102" s="10">
        <f t="shared" si="4"/>
        <v>6585396.4156015255</v>
      </c>
      <c r="L102" s="12"/>
    </row>
    <row r="103" spans="1:12" x14ac:dyDescent="0.25">
      <c r="A103" s="7">
        <v>1961</v>
      </c>
      <c r="B103" s="8">
        <f>[1]Producción!O103</f>
        <v>10152296.437185761</v>
      </c>
      <c r="C103" s="10">
        <v>1010486.138369755</v>
      </c>
      <c r="D103" s="10">
        <v>1448198.9616012543</v>
      </c>
      <c r="E103" s="10">
        <f t="shared" si="5"/>
        <v>-437712.82323149929</v>
      </c>
      <c r="F103" s="10">
        <v>397303.11442934774</v>
      </c>
      <c r="G103" s="10">
        <v>1195868</v>
      </c>
      <c r="H103" s="11">
        <v>20209.683538350975</v>
      </c>
      <c r="I103" s="10">
        <v>1613380.7979676987</v>
      </c>
      <c r="J103" s="10">
        <v>1765723.3629770344</v>
      </c>
      <c r="K103" s="10">
        <f t="shared" si="4"/>
        <v>7210905.0994725265</v>
      </c>
      <c r="L103" s="12"/>
    </row>
    <row r="104" spans="1:12" x14ac:dyDescent="0.25">
      <c r="A104" s="7">
        <v>1962</v>
      </c>
      <c r="B104" s="8">
        <f>[1]Producción!O104</f>
        <v>10633376.753748316</v>
      </c>
      <c r="C104" s="10">
        <v>1054516.324016511</v>
      </c>
      <c r="D104" s="10">
        <v>1277257.9262808259</v>
      </c>
      <c r="E104" s="10">
        <f t="shared" si="5"/>
        <v>-222741.60226431489</v>
      </c>
      <c r="F104" s="10">
        <v>361904.58459850925</v>
      </c>
      <c r="G104" s="10">
        <v>1426754</v>
      </c>
      <c r="H104" s="11">
        <v>22689.479884173255</v>
      </c>
      <c r="I104" s="10">
        <v>1811348.0644826824</v>
      </c>
      <c r="J104" s="10">
        <v>1860851.8553014409</v>
      </c>
      <c r="K104" s="10">
        <f t="shared" si="4"/>
        <v>7183918.4362285081</v>
      </c>
      <c r="L104" s="12"/>
    </row>
    <row r="105" spans="1:12" x14ac:dyDescent="0.25">
      <c r="A105" s="7">
        <v>1963</v>
      </c>
      <c r="B105" s="8">
        <f>[1]Producción!O105</f>
        <v>11306060.640954729</v>
      </c>
      <c r="C105" s="10">
        <v>1061466.4016463386</v>
      </c>
      <c r="D105" s="10">
        <v>1201729.3352280259</v>
      </c>
      <c r="E105" s="10">
        <f t="shared" si="5"/>
        <v>-140262.93358168728</v>
      </c>
      <c r="F105" s="10">
        <v>302885.75390494202</v>
      </c>
      <c r="G105" s="10">
        <v>1749825</v>
      </c>
      <c r="H105" s="11">
        <v>26039.032691757195</v>
      </c>
      <c r="I105" s="10">
        <v>2078749.7865966992</v>
      </c>
      <c r="J105" s="10">
        <v>1855358.7182119766</v>
      </c>
      <c r="K105" s="10">
        <f t="shared" si="4"/>
        <v>7512215.0697277412</v>
      </c>
      <c r="L105" s="12"/>
    </row>
    <row r="106" spans="1:12" x14ac:dyDescent="0.25">
      <c r="A106" s="7">
        <v>1964</v>
      </c>
      <c r="B106" s="8">
        <f>[1]Producción!O106</f>
        <v>11557630.950735234</v>
      </c>
      <c r="C106" s="10">
        <v>1191441.8793989513</v>
      </c>
      <c r="D106" s="10">
        <v>1263576.2182765342</v>
      </c>
      <c r="E106" s="10">
        <f t="shared" si="5"/>
        <v>-72134.338877582923</v>
      </c>
      <c r="F106" s="10">
        <v>339476.494051527</v>
      </c>
      <c r="G106" s="10">
        <v>1596262</v>
      </c>
      <c r="H106" s="11">
        <v>24555.216965378029</v>
      </c>
      <c r="I106" s="10">
        <v>1960293.711016905</v>
      </c>
      <c r="J106" s="10">
        <v>1925071.289165166</v>
      </c>
      <c r="K106" s="10">
        <f t="shared" si="4"/>
        <v>7744400.2894307459</v>
      </c>
      <c r="L106" s="12"/>
    </row>
    <row r="107" spans="1:12" x14ac:dyDescent="0.25">
      <c r="A107" s="7">
        <v>1965</v>
      </c>
      <c r="B107" s="8">
        <f>[1]Producción!O107</f>
        <v>11651050.637611322</v>
      </c>
      <c r="C107" s="10">
        <v>1231609.1982200935</v>
      </c>
      <c r="D107" s="10">
        <v>1283471.1189187055</v>
      </c>
      <c r="E107" s="10">
        <f t="shared" si="5"/>
        <v>-51861.920698611997</v>
      </c>
      <c r="F107" s="10">
        <v>292369.80389198172</v>
      </c>
      <c r="G107" s="10">
        <v>1526405</v>
      </c>
      <c r="H107" s="11">
        <v>23071.509947221959</v>
      </c>
      <c r="I107" s="10">
        <v>1841846.3138392037</v>
      </c>
      <c r="J107" s="10">
        <v>2107463.5551581415</v>
      </c>
      <c r="K107" s="10">
        <f t="shared" si="4"/>
        <v>7753602.6893125884</v>
      </c>
      <c r="L107" s="12"/>
    </row>
    <row r="108" spans="1:12" x14ac:dyDescent="0.25">
      <c r="A108" s="7">
        <v>1966</v>
      </c>
      <c r="B108" s="8">
        <f>[1]Producción!O108</f>
        <v>12950278.200823154</v>
      </c>
      <c r="C108" s="10">
        <v>1293972.1149192594</v>
      </c>
      <c r="D108" s="10">
        <v>1649240.5779394894</v>
      </c>
      <c r="E108" s="10">
        <f t="shared" si="5"/>
        <v>-355268.46302022994</v>
      </c>
      <c r="F108" s="10">
        <v>374517.24994306325</v>
      </c>
      <c r="G108" s="10">
        <v>1502754</v>
      </c>
      <c r="H108" s="11">
        <v>23813.548672443256</v>
      </c>
      <c r="I108" s="10">
        <v>1901084.7986155066</v>
      </c>
      <c r="J108" s="10">
        <v>2329421.333541879</v>
      </c>
      <c r="K108" s="10">
        <f t="shared" si="4"/>
        <v>9075040.5316859987</v>
      </c>
      <c r="L108" s="12"/>
    </row>
    <row r="109" spans="1:12" x14ac:dyDescent="0.25">
      <c r="A109" s="7">
        <v>1967</v>
      </c>
      <c r="B109" s="8">
        <f>[1]Producción!O109</f>
        <v>13370718.576514369</v>
      </c>
      <c r="C109" s="10">
        <v>1269896.106950456</v>
      </c>
      <c r="D109" s="10">
        <v>1514470.4339402691</v>
      </c>
      <c r="E109" s="10">
        <f t="shared" si="5"/>
        <v>-244574.32698981301</v>
      </c>
      <c r="F109" s="10">
        <v>392800.39527035272</v>
      </c>
      <c r="G109" s="10">
        <v>1524602</v>
      </c>
      <c r="H109" s="11">
        <v>24322.6200080649</v>
      </c>
      <c r="I109" s="10">
        <v>1941725.0152784176</v>
      </c>
      <c r="J109" s="10">
        <v>2368926.5514860377</v>
      </c>
      <c r="K109" s="10">
        <f t="shared" si="4"/>
        <v>9304641.3367397264</v>
      </c>
      <c r="L109" s="12"/>
    </row>
    <row r="110" spans="1:12" x14ac:dyDescent="0.25">
      <c r="A110" s="7">
        <v>1968</v>
      </c>
      <c r="B110" s="8">
        <f>[1]Producción!O110</f>
        <v>13849416.794631081</v>
      </c>
      <c r="C110" s="10">
        <v>1296522.4669401261</v>
      </c>
      <c r="D110" s="10">
        <v>1655307.5609911259</v>
      </c>
      <c r="E110" s="10">
        <f t="shared" si="5"/>
        <v>-358785.09405099973</v>
      </c>
      <c r="F110" s="10">
        <v>453511.93419818196</v>
      </c>
      <c r="G110" s="10">
        <v>1645258</v>
      </c>
      <c r="H110" s="11">
        <v>26623.302296780515</v>
      </c>
      <c r="I110" s="10">
        <v>2125393.2364949626</v>
      </c>
      <c r="J110" s="10">
        <v>2473819.4493815796</v>
      </c>
      <c r="K110" s="10">
        <f t="shared" si="4"/>
        <v>9608989.2028055377</v>
      </c>
      <c r="L110" s="12"/>
    </row>
    <row r="111" spans="1:12" x14ac:dyDescent="0.25">
      <c r="A111" s="7">
        <v>1969</v>
      </c>
      <c r="B111" s="8">
        <f>[1]Producción!O111</f>
        <v>14364726.830165416</v>
      </c>
      <c r="C111" s="10">
        <v>1428363.3005913943</v>
      </c>
      <c r="D111" s="10">
        <v>1932609.3144010664</v>
      </c>
      <c r="E111" s="10">
        <f t="shared" si="5"/>
        <v>-504246.01380967209</v>
      </c>
      <c r="F111" s="10">
        <v>439353.30545711488</v>
      </c>
      <c r="G111" s="10">
        <v>1765306</v>
      </c>
      <c r="H111" s="11">
        <v>27966.529439073289</v>
      </c>
      <c r="I111" s="10">
        <v>2232625.8348961882</v>
      </c>
      <c r="J111" s="10">
        <v>2645653.5152926138</v>
      </c>
      <c r="K111" s="10">
        <f t="shared" si="4"/>
        <v>9990693.4937862866</v>
      </c>
      <c r="L111" s="12"/>
    </row>
    <row r="112" spans="1:12" x14ac:dyDescent="0.25">
      <c r="A112" s="7">
        <v>1970</v>
      </c>
      <c r="B112" s="8">
        <f>[1]Producción!O112</f>
        <v>14660107.037449896</v>
      </c>
      <c r="C112" s="10">
        <v>1259008.0346374845</v>
      </c>
      <c r="D112" s="10">
        <v>1882748.6799049377</v>
      </c>
      <c r="E112" s="10">
        <f t="shared" si="5"/>
        <v>-623740.64526745328</v>
      </c>
      <c r="F112" s="10">
        <v>463040.93934731802</v>
      </c>
      <c r="G112" s="10">
        <v>1883912</v>
      </c>
      <c r="H112" s="11">
        <v>29771.551689601038</v>
      </c>
      <c r="I112" s="10">
        <v>2376724.4910369189</v>
      </c>
      <c r="J112" s="10">
        <v>2801754.437266157</v>
      </c>
      <c r="K112" s="10">
        <f t="shared" si="4"/>
        <v>10105368.754414273</v>
      </c>
      <c r="L112" s="12"/>
    </row>
    <row r="113" spans="1:12" x14ac:dyDescent="0.25">
      <c r="A113" s="7">
        <v>1971</v>
      </c>
      <c r="B113" s="8">
        <f>[1]Producción!O113</f>
        <v>15972953.989602089</v>
      </c>
      <c r="C113" s="10">
        <v>1416342.167334876</v>
      </c>
      <c r="D113" s="10">
        <v>1828785.0449661117</v>
      </c>
      <c r="E113" s="10">
        <f t="shared" si="5"/>
        <v>-412442.87763123563</v>
      </c>
      <c r="F113" s="10">
        <v>413042.03750658507</v>
      </c>
      <c r="G113" s="10">
        <v>1879489</v>
      </c>
      <c r="H113" s="11">
        <v>29081.199345276225</v>
      </c>
      <c r="I113" s="10">
        <v>2321612.2368518612</v>
      </c>
      <c r="J113" s="10">
        <v>3149878.8393828324</v>
      </c>
      <c r="K113" s="10">
        <f t="shared" si="4"/>
        <v>10913905.79099863</v>
      </c>
      <c r="L113" s="12"/>
    </row>
    <row r="114" spans="1:12" x14ac:dyDescent="0.25">
      <c r="A114" s="7">
        <v>1972</v>
      </c>
      <c r="B114" s="8">
        <f>[1]Producción!O114</f>
        <v>15779175.459507676</v>
      </c>
      <c r="C114" s="10">
        <v>1260235.6735514142</v>
      </c>
      <c r="D114" s="10">
        <v>1966210.8920168497</v>
      </c>
      <c r="E114" s="10">
        <f t="shared" si="5"/>
        <v>-705975.21846543555</v>
      </c>
      <c r="F114" s="10">
        <v>314937.21045679512</v>
      </c>
      <c r="G114" s="10">
        <v>1516974</v>
      </c>
      <c r="H114" s="11">
        <v>23238.147803696804</v>
      </c>
      <c r="I114" s="10">
        <v>1855149.3582604919</v>
      </c>
      <c r="J114" s="10">
        <v>3328889.0976120643</v>
      </c>
      <c r="K114" s="10">
        <f t="shared" si="4"/>
        <v>11301112.222100556</v>
      </c>
      <c r="L114" s="12"/>
    </row>
    <row r="115" spans="1:12" x14ac:dyDescent="0.25">
      <c r="A115" s="7">
        <v>1973</v>
      </c>
      <c r="B115" s="8">
        <f>[1]Producción!O115</f>
        <v>14901061.473721752</v>
      </c>
      <c r="C115" s="10">
        <v>1289304.621412301</v>
      </c>
      <c r="D115" s="10">
        <v>2197100.2870430625</v>
      </c>
      <c r="E115" s="10">
        <f t="shared" si="5"/>
        <v>-907795.66563076153</v>
      </c>
      <c r="F115" s="10">
        <v>363762.51497917972</v>
      </c>
      <c r="G115" s="10">
        <v>1357787</v>
      </c>
      <c r="H115" s="11">
        <v>21838.1883642131</v>
      </c>
      <c r="I115" s="10">
        <v>1743387.7033433928</v>
      </c>
      <c r="J115" s="10">
        <v>3386937.2466009697</v>
      </c>
      <c r="K115" s="10">
        <f t="shared" si="4"/>
        <v>10678532.189408151</v>
      </c>
      <c r="L115" s="12"/>
    </row>
    <row r="116" spans="1:12" x14ac:dyDescent="0.25">
      <c r="A116" s="7">
        <v>1974</v>
      </c>
      <c r="B116" s="8">
        <f>[1]Producción!O116</f>
        <v>15046273.832487073</v>
      </c>
      <c r="C116" s="10">
        <v>1561658.363105417</v>
      </c>
      <c r="D116" s="10">
        <v>2215248.768228875</v>
      </c>
      <c r="E116" s="10">
        <f t="shared" si="5"/>
        <v>-653590.40512345801</v>
      </c>
      <c r="F116" s="10">
        <v>319294.3896845518</v>
      </c>
      <c r="G116" s="10">
        <v>1731299</v>
      </c>
      <c r="H116" s="11">
        <v>26012.173517345916</v>
      </c>
      <c r="I116" s="10">
        <v>2076605.5632018978</v>
      </c>
      <c r="J116" s="10">
        <v>3712086.005044587</v>
      </c>
      <c r="K116" s="10">
        <f t="shared" si="4"/>
        <v>9911172.6693640463</v>
      </c>
      <c r="L116" s="12"/>
    </row>
    <row r="117" spans="1:12" x14ac:dyDescent="0.25">
      <c r="A117" s="7">
        <v>1975</v>
      </c>
      <c r="B117" s="8">
        <f>[1]Producción!O117</f>
        <v>13103757.735814266</v>
      </c>
      <c r="C117" s="10">
        <v>1680974.5993747632</v>
      </c>
      <c r="D117" s="10">
        <v>1518019.9843459616</v>
      </c>
      <c r="E117" s="10">
        <f t="shared" si="5"/>
        <v>162954.61502880161</v>
      </c>
      <c r="F117" s="10">
        <v>340804.39572376211</v>
      </c>
      <c r="G117" s="10">
        <v>1268978</v>
      </c>
      <c r="H117" s="11">
        <v>20420.400852446444</v>
      </c>
      <c r="I117" s="10">
        <v>1630202.7965762084</v>
      </c>
      <c r="J117" s="10">
        <v>3514734.8801800325</v>
      </c>
      <c r="K117" s="10">
        <f t="shared" si="4"/>
        <v>7795865.4440292232</v>
      </c>
      <c r="L117" s="12"/>
    </row>
    <row r="118" spans="1:12" x14ac:dyDescent="0.25">
      <c r="A118" s="7">
        <v>1976</v>
      </c>
      <c r="B118" s="8">
        <f>[1]Producción!O118</f>
        <v>13564778.453149129</v>
      </c>
      <c r="C118" s="10">
        <v>2169935.800625673</v>
      </c>
      <c r="D118" s="10">
        <v>1562866.4789979763</v>
      </c>
      <c r="E118" s="10">
        <f t="shared" si="5"/>
        <v>607069.32162769674</v>
      </c>
      <c r="F118" s="10">
        <v>312904.26017669257</v>
      </c>
      <c r="G118" s="10">
        <v>1062192</v>
      </c>
      <c r="H118" s="11">
        <v>17443.361859404016</v>
      </c>
      <c r="I118" s="10">
        <v>1392539.6220360966</v>
      </c>
      <c r="J118" s="10">
        <v>3535191.4322279948</v>
      </c>
      <c r="K118" s="10">
        <f t="shared" si="4"/>
        <v>8029978.0772573408</v>
      </c>
      <c r="L118" s="12"/>
    </row>
    <row r="119" spans="1:12" x14ac:dyDescent="0.25">
      <c r="A119" s="7">
        <v>1977</v>
      </c>
      <c r="B119" s="8">
        <f>[1]Producción!O119</f>
        <v>14902086.19033145</v>
      </c>
      <c r="C119" s="10">
        <v>2129349.0130848358</v>
      </c>
      <c r="D119" s="10">
        <v>1922839.6209153219</v>
      </c>
      <c r="E119" s="10">
        <f t="shared" si="5"/>
        <v>206509.39216951397</v>
      </c>
      <c r="F119" s="10">
        <v>461772.11244943331</v>
      </c>
      <c r="G119" s="10">
        <v>1180690</v>
      </c>
      <c r="H119" s="11">
        <v>20834.949375933502</v>
      </c>
      <c r="I119" s="10">
        <v>1663297.0618253667</v>
      </c>
      <c r="J119" s="10">
        <v>3591840.3455915819</v>
      </c>
      <c r="K119" s="10">
        <f t="shared" si="4"/>
        <v>9440439.3907449879</v>
      </c>
      <c r="L119" s="12"/>
    </row>
    <row r="120" spans="1:12" x14ac:dyDescent="0.25">
      <c r="A120" s="7">
        <v>1978</v>
      </c>
      <c r="B120" s="8">
        <f>[1]Producción!O120</f>
        <v>16126649.363426292</v>
      </c>
      <c r="C120" s="10">
        <v>2030013.9361032988</v>
      </c>
      <c r="D120" s="10">
        <v>2507780.6460688901</v>
      </c>
      <c r="E120" s="10">
        <f t="shared" si="5"/>
        <v>-477766.70996559132</v>
      </c>
      <c r="F120" s="10">
        <v>570520.71996949054</v>
      </c>
      <c r="G120" s="10">
        <v>1353878</v>
      </c>
      <c r="H120" s="11">
        <v>24411.36973922723</v>
      </c>
      <c r="I120" s="10">
        <v>1948810.0897087178</v>
      </c>
      <c r="J120" s="10">
        <v>3869057.1515916851</v>
      </c>
      <c r="K120" s="10">
        <f t="shared" si="4"/>
        <v>10786548.83209148</v>
      </c>
      <c r="L120" s="12"/>
    </row>
    <row r="121" spans="1:12" x14ac:dyDescent="0.25">
      <c r="A121" s="7">
        <v>1979</v>
      </c>
      <c r="B121" s="8">
        <f>[1]Producción!O121</f>
        <v>17462203.461874485</v>
      </c>
      <c r="C121" s="10">
        <v>2513723.3998367093</v>
      </c>
      <c r="D121" s="10">
        <v>2907185.893682064</v>
      </c>
      <c r="E121" s="10">
        <f t="shared" si="5"/>
        <v>-393462.49384535477</v>
      </c>
      <c r="F121" s="10">
        <v>639090.99432821036</v>
      </c>
      <c r="G121" s="10">
        <v>1570815</v>
      </c>
      <c r="H121" s="11">
        <v>28033.084701561136</v>
      </c>
      <c r="I121" s="10">
        <v>2237939.0790297715</v>
      </c>
      <c r="J121" s="10">
        <v>4290338.3010182502</v>
      </c>
      <c r="K121" s="10">
        <f t="shared" si="4"/>
        <v>11327388.575671818</v>
      </c>
      <c r="L121" s="12"/>
    </row>
    <row r="122" spans="1:12" x14ac:dyDescent="0.25">
      <c r="A122" s="7">
        <v>1980</v>
      </c>
      <c r="B122" s="8">
        <f>[1]Producción!O122</f>
        <v>18849559.294542953</v>
      </c>
      <c r="C122" s="10">
        <v>2562684.6416833019</v>
      </c>
      <c r="D122" s="10">
        <v>3255273.0583763528</v>
      </c>
      <c r="E122" s="10">
        <f t="shared" si="5"/>
        <v>-692588.41669305088</v>
      </c>
      <c r="F122" s="10">
        <v>817640.18944949773</v>
      </c>
      <c r="G122" s="10">
        <v>1982988</v>
      </c>
      <c r="H122" s="11">
        <v>35526.509930248605</v>
      </c>
      <c r="I122" s="10">
        <v>2836154.6993797463</v>
      </c>
      <c r="J122" s="10">
        <v>3958656.6775857005</v>
      </c>
      <c r="K122" s="10">
        <f t="shared" si="4"/>
        <v>12747336.334270557</v>
      </c>
      <c r="L122" s="12"/>
    </row>
    <row r="123" spans="1:12" x14ac:dyDescent="0.25">
      <c r="A123" s="7">
        <v>1981</v>
      </c>
      <c r="B123" s="8">
        <f>[1]Producción!O123</f>
        <v>20020531.777484689</v>
      </c>
      <c r="C123" s="10">
        <v>2412807.0427853614</v>
      </c>
      <c r="D123" s="10">
        <v>3776090.4264007155</v>
      </c>
      <c r="E123" s="10">
        <f t="shared" si="5"/>
        <v>-1363283.3836153541</v>
      </c>
      <c r="F123" s="10">
        <v>963184.92347320949</v>
      </c>
      <c r="G123" s="10">
        <v>2355052</v>
      </c>
      <c r="H123" s="11">
        <v>42092.47677245643</v>
      </c>
      <c r="I123" s="10">
        <v>3360329.400245666</v>
      </c>
      <c r="J123" s="10">
        <v>3841025.0542077604</v>
      </c>
      <c r="K123" s="10">
        <f t="shared" si="4"/>
        <v>14182460.706646618</v>
      </c>
      <c r="L123" s="12"/>
    </row>
    <row r="124" spans="1:12" x14ac:dyDescent="0.25">
      <c r="A124" s="7">
        <v>1982</v>
      </c>
      <c r="B124" s="8">
        <f>[1]Producción!O124</f>
        <v>17300150.599222537</v>
      </c>
      <c r="C124" s="10">
        <v>2790701.9218785004</v>
      </c>
      <c r="D124" s="10">
        <v>2407704.2511389735</v>
      </c>
      <c r="E124" s="10">
        <f t="shared" si="5"/>
        <v>382997.67073952686</v>
      </c>
      <c r="F124" s="10">
        <v>369350.46739886457</v>
      </c>
      <c r="G124" s="10">
        <v>1596046</v>
      </c>
      <c r="H124" s="11">
        <v>24931.434090023395</v>
      </c>
      <c r="I124" s="10">
        <v>1990327.9014888881</v>
      </c>
      <c r="J124" s="10">
        <v>3733204.6649141936</v>
      </c>
      <c r="K124" s="10">
        <f t="shared" si="4"/>
        <v>11193620.36207993</v>
      </c>
      <c r="L124" s="12"/>
    </row>
    <row r="125" spans="1:12" x14ac:dyDescent="0.25">
      <c r="A125" s="7">
        <v>1983</v>
      </c>
      <c r="B125" s="8">
        <f>[1]Producción!O125</f>
        <v>16815394.135125805</v>
      </c>
      <c r="C125" s="10">
        <v>2940771.5429465189</v>
      </c>
      <c r="D125" s="10">
        <v>2066446.9820286795</v>
      </c>
      <c r="E125" s="10">
        <f t="shared" si="5"/>
        <v>874324.56091783941</v>
      </c>
      <c r="F125" s="10">
        <v>293666.5699350881</v>
      </c>
      <c r="G125" s="10">
        <v>1346925</v>
      </c>
      <c r="H125" s="11">
        <v>20811.221182572423</v>
      </c>
      <c r="I125" s="10">
        <v>1661402.7911176605</v>
      </c>
      <c r="J125" s="10">
        <v>3661318.6728498964</v>
      </c>
      <c r="K125" s="10">
        <f t="shared" si="4"/>
        <v>10618348.110240407</v>
      </c>
      <c r="L125" s="12"/>
    </row>
    <row r="126" spans="1:12" x14ac:dyDescent="0.25">
      <c r="A126" s="7">
        <v>1984</v>
      </c>
      <c r="B126" s="8">
        <f>[1]Producción!O126</f>
        <v>17805071.423093822</v>
      </c>
      <c r="C126" s="10">
        <v>2935933.1758786356</v>
      </c>
      <c r="D126" s="10">
        <v>2376495.7271630587</v>
      </c>
      <c r="E126" s="10">
        <f t="shared" si="5"/>
        <v>559437.4487155769</v>
      </c>
      <c r="F126" s="10">
        <v>482836.49663152394</v>
      </c>
      <c r="G126" s="10">
        <v>1586158</v>
      </c>
      <c r="H126" s="11">
        <v>26245.595115808304</v>
      </c>
      <c r="I126" s="10">
        <v>2095240.0917473321</v>
      </c>
      <c r="J126" s="10">
        <v>3608461.8315557297</v>
      </c>
      <c r="K126" s="10">
        <f t="shared" si="4"/>
        <v>11541932.051075183</v>
      </c>
      <c r="L126" s="12"/>
    </row>
    <row r="127" spans="1:12" x14ac:dyDescent="0.25">
      <c r="A127" s="7">
        <v>1985</v>
      </c>
      <c r="B127" s="8">
        <f>[1]Producción!O127</f>
        <v>18155525.125029195</v>
      </c>
      <c r="C127" s="10">
        <v>3319736.4381800094</v>
      </c>
      <c r="D127" s="10">
        <v>2115726.3398613161</v>
      </c>
      <c r="E127" s="10">
        <f t="shared" si="5"/>
        <v>1204010.0983186932</v>
      </c>
      <c r="F127" s="10">
        <v>456385.26941002853</v>
      </c>
      <c r="G127" s="10">
        <v>1865311</v>
      </c>
      <c r="H127" s="11">
        <v>29451.165949461516</v>
      </c>
      <c r="I127" s="10">
        <v>2351147.4353594901</v>
      </c>
      <c r="J127" s="10">
        <v>3659220.5649475409</v>
      </c>
      <c r="K127" s="10">
        <f t="shared" si="4"/>
        <v>10941147.026403472</v>
      </c>
      <c r="L127" s="12"/>
    </row>
    <row r="128" spans="1:12" x14ac:dyDescent="0.25">
      <c r="A128" s="7">
        <v>1986</v>
      </c>
      <c r="B128" s="8">
        <f>[1]Producción!O128</f>
        <v>19171549.534458723</v>
      </c>
      <c r="C128" s="10">
        <v>3567643.6463766685</v>
      </c>
      <c r="D128" s="10">
        <v>2441012.2773567578</v>
      </c>
      <c r="E128" s="10">
        <f t="shared" si="5"/>
        <v>1126631.3690199107</v>
      </c>
      <c r="F128" s="10">
        <v>430451.83272014285</v>
      </c>
      <c r="G128" s="10">
        <v>1947381</v>
      </c>
      <c r="H128" s="11">
        <v>30163.269105960149</v>
      </c>
      <c r="I128" s="10">
        <v>2407996.1018261029</v>
      </c>
      <c r="J128" s="10">
        <v>3698929.8366404744</v>
      </c>
      <c r="K128" s="10">
        <f t="shared" si="4"/>
        <v>11937992.226972235</v>
      </c>
      <c r="L128" s="12"/>
    </row>
    <row r="129" spans="1:12" x14ac:dyDescent="0.25">
      <c r="A129" s="7">
        <v>1987</v>
      </c>
      <c r="B129" s="8">
        <f>[1]Producción!O129</f>
        <v>20412276.161992937</v>
      </c>
      <c r="C129" s="10">
        <v>3937981.5404827781</v>
      </c>
      <c r="D129" s="10">
        <v>2841760.7202961277</v>
      </c>
      <c r="E129" s="10">
        <f t="shared" si="5"/>
        <v>1096220.8201866504</v>
      </c>
      <c r="F129" s="10">
        <v>618617.79698316788</v>
      </c>
      <c r="G129" s="10">
        <v>2275501</v>
      </c>
      <c r="H129" s="11">
        <v>36712.456358068623</v>
      </c>
      <c r="I129" s="10">
        <v>2930831.2533412366</v>
      </c>
      <c r="J129" s="10">
        <v>3603663.6995495241</v>
      </c>
      <c r="K129" s="10">
        <f t="shared" si="4"/>
        <v>12781560.388915526</v>
      </c>
      <c r="L129" s="12"/>
    </row>
    <row r="130" spans="1:12" x14ac:dyDescent="0.25">
      <c r="A130" s="7">
        <v>1988</v>
      </c>
      <c r="B130" s="8">
        <f>[1]Producción!O130</f>
        <v>21911017.128352895</v>
      </c>
      <c r="C130" s="10">
        <v>4071069.4817492086</v>
      </c>
      <c r="D130" s="10">
        <v>3229339.9011993082</v>
      </c>
      <c r="E130" s="10">
        <f t="shared" si="5"/>
        <v>841729.58054990042</v>
      </c>
      <c r="F130" s="10">
        <v>766876.85913732823</v>
      </c>
      <c r="G130" s="10">
        <v>2536838</v>
      </c>
      <c r="H130" s="11">
        <v>41908.261579314712</v>
      </c>
      <c r="I130" s="10">
        <v>3345623.1207166431</v>
      </c>
      <c r="J130" s="10">
        <v>3733084.2816738933</v>
      </c>
      <c r="K130" s="10">
        <f t="shared" ref="K130:K193" si="6">B130-(E130+I130+J130)</f>
        <v>13990580.145412458</v>
      </c>
      <c r="L130" s="12"/>
    </row>
    <row r="131" spans="1:12" x14ac:dyDescent="0.25">
      <c r="A131" s="7">
        <v>1989</v>
      </c>
      <c r="B131" s="8">
        <f>[1]Producción!O131</f>
        <v>24228285.317068763</v>
      </c>
      <c r="C131" s="10">
        <v>4473861.0881937798</v>
      </c>
      <c r="D131" s="10">
        <v>4168721.1859748466</v>
      </c>
      <c r="E131" s="10">
        <f t="shared" ref="E131:E152" si="7">C131-D131</f>
        <v>305139.90221893322</v>
      </c>
      <c r="F131" s="10">
        <v>1152396.6129360646</v>
      </c>
      <c r="G131" s="10">
        <v>3142369</v>
      </c>
      <c r="H131" s="11">
        <v>54479.931956285611</v>
      </c>
      <c r="I131" s="10">
        <v>4349245.5448923502</v>
      </c>
      <c r="J131" s="10">
        <v>3873451.1398625989</v>
      </c>
      <c r="K131" s="10">
        <f t="shared" si="6"/>
        <v>15700448.73009488</v>
      </c>
      <c r="L131" s="12"/>
    </row>
    <row r="132" spans="1:12" x14ac:dyDescent="0.25">
      <c r="A132" s="7">
        <v>1990</v>
      </c>
      <c r="B132" s="8">
        <f>[1]Producción!O132</f>
        <v>25142426.777105596</v>
      </c>
      <c r="C132" s="10">
        <v>4936463.8835154334</v>
      </c>
      <c r="D132" s="10">
        <v>4258525.5874788594</v>
      </c>
      <c r="E132" s="10">
        <f t="shared" si="7"/>
        <v>677938.29603657406</v>
      </c>
      <c r="F132" s="10">
        <v>1071255.4363246767</v>
      </c>
      <c r="G132" s="10">
        <v>3331604</v>
      </c>
      <c r="H132" s="11">
        <v>55851.122999952175</v>
      </c>
      <c r="I132" s="10">
        <v>4458710.5593246287</v>
      </c>
      <c r="J132" s="10">
        <v>3905550.4710080558</v>
      </c>
      <c r="K132" s="10">
        <f t="shared" si="6"/>
        <v>16100227.450736336</v>
      </c>
      <c r="L132" s="12"/>
    </row>
    <row r="133" spans="1:12" x14ac:dyDescent="0.25">
      <c r="A133" s="7">
        <v>1991</v>
      </c>
      <c r="B133" s="8">
        <f>[1]Producción!O133</f>
        <v>27136660.993374921</v>
      </c>
      <c r="C133" s="10">
        <v>5446127.9855664559</v>
      </c>
      <c r="D133" s="10">
        <v>4620407.817017572</v>
      </c>
      <c r="E133" s="10">
        <f t="shared" si="7"/>
        <v>825720.16854888387</v>
      </c>
      <c r="F133" s="10">
        <v>1127652.4874631951</v>
      </c>
      <c r="G133" s="10">
        <v>3267388</v>
      </c>
      <c r="H133" s="11">
        <v>55751.938122281805</v>
      </c>
      <c r="I133" s="10">
        <v>4450792.4255854767</v>
      </c>
      <c r="J133" s="10">
        <v>4045246.6225722381</v>
      </c>
      <c r="K133" s="10">
        <f t="shared" si="6"/>
        <v>17814901.776668325</v>
      </c>
      <c r="L133" s="12"/>
    </row>
    <row r="134" spans="1:12" x14ac:dyDescent="0.25">
      <c r="A134" s="7">
        <v>1992</v>
      </c>
      <c r="B134" s="8">
        <f>[1]Producción!O134</f>
        <v>30438171.756635077</v>
      </c>
      <c r="C134" s="10">
        <v>6378702.4795427937</v>
      </c>
      <c r="D134" s="10">
        <v>5809923.9479276882</v>
      </c>
      <c r="E134" s="10">
        <f t="shared" si="7"/>
        <v>568778.53161510546</v>
      </c>
      <c r="F134" s="10">
        <v>1502416.8231748631</v>
      </c>
      <c r="G134" s="10">
        <v>3948551</v>
      </c>
      <c r="H134" s="11">
        <v>69146.580481128767</v>
      </c>
      <c r="I134" s="10">
        <v>5520114.4036559919</v>
      </c>
      <c r="J134" s="10">
        <v>4271489.7251085667</v>
      </c>
      <c r="K134" s="10">
        <f t="shared" si="6"/>
        <v>20077789.096255414</v>
      </c>
      <c r="L134" s="12"/>
    </row>
    <row r="135" spans="1:12" x14ac:dyDescent="0.25">
      <c r="A135" s="7">
        <v>1993</v>
      </c>
      <c r="B135" s="8">
        <f>[1]Producción!O135</f>
        <v>32559287.776969209</v>
      </c>
      <c r="C135" s="10">
        <v>6581934.0557491211</v>
      </c>
      <c r="D135" s="10">
        <v>6542940.0929296771</v>
      </c>
      <c r="E135" s="10">
        <f t="shared" si="7"/>
        <v>38993.962819444016</v>
      </c>
      <c r="F135" s="10">
        <v>1744746.4097156953</v>
      </c>
      <c r="G135" s="10">
        <v>4684998</v>
      </c>
      <c r="H135" s="11">
        <v>81562.550673899241</v>
      </c>
      <c r="I135" s="10">
        <v>6511306.9603895945</v>
      </c>
      <c r="J135" s="10">
        <v>4455676.0827661306</v>
      </c>
      <c r="K135" s="10">
        <f t="shared" si="6"/>
        <v>21553310.770994041</v>
      </c>
      <c r="L135" s="12"/>
    </row>
    <row r="136" spans="1:12" x14ac:dyDescent="0.25">
      <c r="A136" s="7">
        <v>1994</v>
      </c>
      <c r="B136" s="8">
        <f>[1]Producción!O136</f>
        <v>34416719.427535832</v>
      </c>
      <c r="C136" s="10">
        <v>7179122.7937965803</v>
      </c>
      <c r="D136" s="10">
        <v>6894319.908071816</v>
      </c>
      <c r="E136" s="10">
        <f t="shared" si="7"/>
        <v>284802.88572476432</v>
      </c>
      <c r="F136" s="10">
        <v>1994362.3500870198</v>
      </c>
      <c r="G136" s="10">
        <v>4833130</v>
      </c>
      <c r="H136" s="11">
        <v>86608.060180149041</v>
      </c>
      <c r="I136" s="10">
        <v>6914100.4102671687</v>
      </c>
      <c r="J136" s="10">
        <v>4542042.458877828</v>
      </c>
      <c r="K136" s="10">
        <f t="shared" si="6"/>
        <v>22675773.672666073</v>
      </c>
      <c r="L136" s="12"/>
    </row>
    <row r="137" spans="1:12" x14ac:dyDescent="0.25">
      <c r="A137" s="7">
        <v>1995</v>
      </c>
      <c r="B137" s="8">
        <f>[1]Producción!O137</f>
        <v>38028586.639296181</v>
      </c>
      <c r="C137" s="10">
        <v>8033832.5627497295</v>
      </c>
      <c r="D137" s="10">
        <v>8540633.1282959711</v>
      </c>
      <c r="E137" s="10">
        <f t="shared" si="7"/>
        <v>-506800.56554624159</v>
      </c>
      <c r="F137" s="10">
        <v>2829308.9758565985</v>
      </c>
      <c r="G137" s="10">
        <v>5602626</v>
      </c>
      <c r="H137" s="11">
        <v>106960.72501857579</v>
      </c>
      <c r="I137" s="10">
        <v>8538895.7008751743</v>
      </c>
      <c r="J137" s="10">
        <v>4731654.6611517286</v>
      </c>
      <c r="K137" s="10">
        <f t="shared" si="6"/>
        <v>25264836.842815518</v>
      </c>
      <c r="L137" s="12"/>
    </row>
    <row r="138" spans="1:12" x14ac:dyDescent="0.25">
      <c r="A138" s="7">
        <v>1996</v>
      </c>
      <c r="B138" s="8">
        <f>[1]Producción!O138</f>
        <v>40831592.660049953</v>
      </c>
      <c r="C138" s="10">
        <v>9912071.1785250325</v>
      </c>
      <c r="D138" s="10">
        <v>10197693.090250194</v>
      </c>
      <c r="E138" s="10">
        <f t="shared" si="7"/>
        <v>-285621.9117251616</v>
      </c>
      <c r="F138" s="10">
        <v>2989790.9878385263</v>
      </c>
      <c r="G138" s="10">
        <v>6194167</v>
      </c>
      <c r="H138" s="11">
        <v>116500.28228776064</v>
      </c>
      <c r="I138" s="10">
        <v>9300458.2701262869</v>
      </c>
      <c r="J138" s="10">
        <v>4920002.8394024884</v>
      </c>
      <c r="K138" s="10">
        <f t="shared" si="6"/>
        <v>26896753.46224634</v>
      </c>
      <c r="L138" s="12"/>
    </row>
    <row r="139" spans="1:12" x14ac:dyDescent="0.25">
      <c r="A139" s="7">
        <v>1997</v>
      </c>
      <c r="B139" s="8">
        <f>[1]Producción!O139</f>
        <v>43526542.291929558</v>
      </c>
      <c r="C139" s="10">
        <v>10936175.691623196</v>
      </c>
      <c r="D139" s="10">
        <v>11397788.273816163</v>
      </c>
      <c r="E139" s="10">
        <f t="shared" si="7"/>
        <v>-461612.58219296671</v>
      </c>
      <c r="F139" s="10">
        <v>3516812.8651727038</v>
      </c>
      <c r="G139" s="10">
        <v>6635812</v>
      </c>
      <c r="H139" s="11">
        <v>128788.00886509102</v>
      </c>
      <c r="I139" s="10">
        <v>10281412.874037795</v>
      </c>
      <c r="J139" s="10">
        <v>5203923.9028460011</v>
      </c>
      <c r="K139" s="10">
        <f t="shared" si="6"/>
        <v>28502818.097238727</v>
      </c>
      <c r="L139" s="12"/>
    </row>
    <row r="140" spans="1:12" x14ac:dyDescent="0.25">
      <c r="A140" s="7">
        <v>1998</v>
      </c>
      <c r="B140" s="8">
        <f>[1]Producción!O140</f>
        <v>44944336.135766581</v>
      </c>
      <c r="C140" s="10">
        <v>11782690.53264985</v>
      </c>
      <c r="D140" s="10">
        <v>12225043.219600357</v>
      </c>
      <c r="E140" s="10">
        <f t="shared" si="7"/>
        <v>-442352.68695050664</v>
      </c>
      <c r="F140" s="10">
        <v>3543564.4530568495</v>
      </c>
      <c r="G140" s="10">
        <v>6799409</v>
      </c>
      <c r="H140" s="11">
        <v>131202.61749581061</v>
      </c>
      <c r="I140" s="10">
        <v>10474176.07055266</v>
      </c>
      <c r="J140" s="10">
        <v>5320998.2274778131</v>
      </c>
      <c r="K140" s="10">
        <f t="shared" si="6"/>
        <v>29591514.524686612</v>
      </c>
      <c r="L140" s="12"/>
    </row>
    <row r="141" spans="1:12" x14ac:dyDescent="0.25">
      <c r="A141" s="7">
        <v>1999</v>
      </c>
      <c r="B141" s="8">
        <f>[1]Producción!O141</f>
        <v>44616344.172736935</v>
      </c>
      <c r="C141" s="10">
        <v>12427556.897985548</v>
      </c>
      <c r="D141" s="10">
        <v>10413592.612986038</v>
      </c>
      <c r="E141" s="10">
        <f t="shared" si="7"/>
        <v>2013964.2849995103</v>
      </c>
      <c r="F141" s="10">
        <v>2563917.2012067018</v>
      </c>
      <c r="G141" s="10">
        <v>5892807</v>
      </c>
      <c r="H141" s="11">
        <v>107275.18113377411</v>
      </c>
      <c r="I141" s="10">
        <v>8563999.3823404759</v>
      </c>
      <c r="J141" s="10">
        <v>5465041.3779471591</v>
      </c>
      <c r="K141" s="10">
        <f t="shared" si="6"/>
        <v>28573339.127449788</v>
      </c>
      <c r="L141" s="12"/>
    </row>
    <row r="142" spans="1:12" x14ac:dyDescent="0.25">
      <c r="A142" s="7">
        <v>2000</v>
      </c>
      <c r="B142" s="8">
        <f>[1]Producción!O142</f>
        <v>46605194.729468033</v>
      </c>
      <c r="C142" s="10">
        <v>13036867.172339564</v>
      </c>
      <c r="D142" s="10">
        <v>11856463.858930361</v>
      </c>
      <c r="E142" s="10">
        <f t="shared" si="7"/>
        <v>1180403.3134092037</v>
      </c>
      <c r="F142" s="10">
        <v>3194392.9354198454</v>
      </c>
      <c r="G142" s="10">
        <v>6011184</v>
      </c>
      <c r="H142" s="11">
        <v>116774.52281666454</v>
      </c>
      <c r="I142" s="10">
        <v>9322351.4582365099</v>
      </c>
      <c r="J142" s="10">
        <v>5626475.9720236808</v>
      </c>
      <c r="K142" s="10">
        <f t="shared" si="6"/>
        <v>30475963.985798638</v>
      </c>
      <c r="L142" s="12"/>
    </row>
    <row r="143" spans="1:12" x14ac:dyDescent="0.25">
      <c r="A143" s="7">
        <v>2001</v>
      </c>
      <c r="B143" s="8">
        <f>[1]Producción!O143</f>
        <v>48165620.898592375</v>
      </c>
      <c r="C143" s="10">
        <v>14102385.884285713</v>
      </c>
      <c r="D143" s="10">
        <v>12055544.158664053</v>
      </c>
      <c r="E143" s="10">
        <f t="shared" si="7"/>
        <v>2046841.7256216593</v>
      </c>
      <c r="F143" s="10">
        <v>3322946.7528623226</v>
      </c>
      <c r="G143" s="10">
        <v>6280820</v>
      </c>
      <c r="H143" s="11">
        <v>121825.63761897385</v>
      </c>
      <c r="I143" s="10">
        <v>9725592.3904812969</v>
      </c>
      <c r="J143" s="10">
        <v>5791539.6140028629</v>
      </c>
      <c r="K143" s="10">
        <f t="shared" si="6"/>
        <v>30601647.168486558</v>
      </c>
      <c r="L143" s="12"/>
    </row>
    <row r="144" spans="1:12" x14ac:dyDescent="0.25">
      <c r="A144" s="7">
        <v>2002</v>
      </c>
      <c r="B144" s="8">
        <f>[1]Producción!O144</f>
        <v>49209326.070127815</v>
      </c>
      <c r="C144" s="10">
        <v>14157710.954103602</v>
      </c>
      <c r="D144" s="10">
        <v>12173510.840045176</v>
      </c>
      <c r="E144" s="10">
        <f t="shared" si="7"/>
        <v>1984200.1140584257</v>
      </c>
      <c r="F144" s="10">
        <v>3339033.4730295297</v>
      </c>
      <c r="G144" s="10">
        <v>6412994</v>
      </c>
      <c r="H144" s="11">
        <v>123706.35351233184</v>
      </c>
      <c r="I144" s="10">
        <v>9875733.8265418615</v>
      </c>
      <c r="J144" s="10">
        <v>5969768.1107653957</v>
      </c>
      <c r="K144" s="10">
        <f t="shared" si="6"/>
        <v>31379624.018762134</v>
      </c>
      <c r="L144" s="12"/>
    </row>
    <row r="145" spans="1:12" x14ac:dyDescent="0.25">
      <c r="A145" s="7">
        <v>2003</v>
      </c>
      <c r="B145" s="8">
        <f>[1]Producción!O145</f>
        <v>51156415.259999998</v>
      </c>
      <c r="C145" s="10">
        <v>14981564.678952001</v>
      </c>
      <c r="D145" s="10">
        <v>13362126.704544002</v>
      </c>
      <c r="E145" s="10">
        <f t="shared" si="7"/>
        <v>1619437.9744079988</v>
      </c>
      <c r="F145" s="10">
        <v>3516258.4219999989</v>
      </c>
      <c r="G145" s="10">
        <v>6790743</v>
      </c>
      <c r="H145" s="11">
        <v>130746.30532864481</v>
      </c>
      <c r="I145" s="10">
        <v>10437747.727328643</v>
      </c>
      <c r="J145" s="10">
        <v>6115160.4630653411</v>
      </c>
      <c r="K145" s="10">
        <f t="shared" si="6"/>
        <v>32984069.095198013</v>
      </c>
      <c r="L145" s="12"/>
    </row>
    <row r="146" spans="1:12" x14ac:dyDescent="0.25">
      <c r="A146" s="7">
        <v>2004</v>
      </c>
      <c r="B146" s="8">
        <f>[1]Producción!O146</f>
        <v>54246818.68</v>
      </c>
      <c r="C146" s="10">
        <v>16936118.224493179</v>
      </c>
      <c r="D146" s="10">
        <v>16017890.58681149</v>
      </c>
      <c r="E146" s="10">
        <f t="shared" si="7"/>
        <v>918227.63768168911</v>
      </c>
      <c r="F146" s="10">
        <v>4319248.6390000004</v>
      </c>
      <c r="G146" s="10">
        <v>7019324</v>
      </c>
      <c r="H146" s="11">
        <v>143831.98561372049</v>
      </c>
      <c r="I146" s="10">
        <v>11482404.624613721</v>
      </c>
      <c r="J146" s="10">
        <v>6485421.3770547519</v>
      </c>
      <c r="K146" s="10">
        <f t="shared" si="6"/>
        <v>35360765.040649839</v>
      </c>
      <c r="L146" s="12"/>
    </row>
    <row r="147" spans="1:12" x14ac:dyDescent="0.25">
      <c r="A147" s="7">
        <v>2005</v>
      </c>
      <c r="B147" s="8">
        <f>[1]Producción!O147</f>
        <v>57262644.799999997</v>
      </c>
      <c r="C147" s="10">
        <v>17309026.032073915</v>
      </c>
      <c r="D147" s="10">
        <v>19475394.057501387</v>
      </c>
      <c r="E147" s="10">
        <f t="shared" si="7"/>
        <v>-2166368.0254274718</v>
      </c>
      <c r="F147" s="10">
        <v>6274944.3019999992</v>
      </c>
      <c r="G147" s="10">
        <v>7769619</v>
      </c>
      <c r="H147" s="11">
        <v>178158.00022801012</v>
      </c>
      <c r="I147" s="10">
        <v>14222721.302228009</v>
      </c>
      <c r="J147" s="10">
        <v>6868370.4197794162</v>
      </c>
      <c r="K147" s="10">
        <f t="shared" si="6"/>
        <v>38337921.103420042</v>
      </c>
      <c r="L147" s="12"/>
    </row>
    <row r="148" spans="1:12" x14ac:dyDescent="0.25">
      <c r="A148" s="7">
        <v>2006</v>
      </c>
      <c r="B148" s="8">
        <f>[1]Producción!O148</f>
        <v>59890971.18</v>
      </c>
      <c r="C148" s="10">
        <v>18049337.441834994</v>
      </c>
      <c r="D148" s="10">
        <v>21772956.543030042</v>
      </c>
      <c r="E148" s="10">
        <f t="shared" si="7"/>
        <v>-3723619.1011950485</v>
      </c>
      <c r="F148" s="10">
        <v>6371339.2890000008</v>
      </c>
      <c r="G148" s="10">
        <v>8002756</v>
      </c>
      <c r="H148" s="11">
        <v>182338.1771799475</v>
      </c>
      <c r="I148" s="10">
        <v>14556433.466179948</v>
      </c>
      <c r="J148" s="10">
        <v>7307873.343019871</v>
      </c>
      <c r="K148" s="10">
        <f t="shared" si="6"/>
        <v>41750283.471995227</v>
      </c>
      <c r="L148" s="12"/>
    </row>
    <row r="149" spans="1:12" x14ac:dyDescent="0.25">
      <c r="A149" s="7">
        <v>2007</v>
      </c>
      <c r="B149" s="8">
        <f>[1]Producción!O149</f>
        <v>62646127</v>
      </c>
      <c r="C149" s="10">
        <v>19299162.492727142</v>
      </c>
      <c r="D149" s="10">
        <v>25534647.335270766</v>
      </c>
      <c r="E149" s="10">
        <f t="shared" si="7"/>
        <v>-6235484.8425436243</v>
      </c>
      <c r="F149" s="10">
        <v>7446780.9999999991</v>
      </c>
      <c r="G149" s="10">
        <v>8540861</v>
      </c>
      <c r="H149" s="11">
        <v>202806.32909929752</v>
      </c>
      <c r="I149" s="10">
        <v>16190448.329099298</v>
      </c>
      <c r="J149" s="10">
        <v>7829905.2200377835</v>
      </c>
      <c r="K149" s="10">
        <f t="shared" si="6"/>
        <v>44861258.293406546</v>
      </c>
      <c r="L149" s="12"/>
    </row>
    <row r="150" spans="1:12" x14ac:dyDescent="0.25">
      <c r="A150" s="7">
        <v>2008</v>
      </c>
      <c r="B150" s="8">
        <f>[1]Producción!O150</f>
        <v>64940432</v>
      </c>
      <c r="C150" s="10">
        <v>19565304.61553866</v>
      </c>
      <c r="D150" s="10">
        <v>29852693.895114239</v>
      </c>
      <c r="E150" s="10">
        <f t="shared" si="7"/>
        <v>-10287389.279575579</v>
      </c>
      <c r="F150" s="10">
        <v>9600698.0000000019</v>
      </c>
      <c r="G150" s="10">
        <v>9485613</v>
      </c>
      <c r="H150" s="11">
        <v>242113.54432113655</v>
      </c>
      <c r="I150" s="10">
        <v>19328424.544321138</v>
      </c>
      <c r="J150" s="10">
        <v>7866682.4393844968</v>
      </c>
      <c r="K150" s="10">
        <f t="shared" si="6"/>
        <v>48032714.295869946</v>
      </c>
      <c r="L150" s="12"/>
    </row>
    <row r="151" spans="1:12" x14ac:dyDescent="0.25">
      <c r="A151" s="7">
        <v>2009</v>
      </c>
      <c r="B151" s="8">
        <f>[1]Producción!O151</f>
        <v>63848206</v>
      </c>
      <c r="C151" s="10">
        <v>18018899.660440817</v>
      </c>
      <c r="D151" s="10">
        <v>24219444.909465753</v>
      </c>
      <c r="E151" s="11">
        <f t="shared" si="7"/>
        <v>-6200545.2490249351</v>
      </c>
      <c r="F151" s="10">
        <v>7431121.0000000009</v>
      </c>
      <c r="G151" s="10">
        <v>8615526</v>
      </c>
      <c r="H151" s="11">
        <v>203554.81892966107</v>
      </c>
      <c r="I151" s="10">
        <v>16250201.818929661</v>
      </c>
      <c r="J151" s="10">
        <v>8456067.1283296309</v>
      </c>
      <c r="K151" s="10">
        <f t="shared" si="6"/>
        <v>45342482.301765643</v>
      </c>
      <c r="L151" s="12"/>
    </row>
    <row r="152" spans="1:12" x14ac:dyDescent="0.25">
      <c r="A152" s="7">
        <v>2010</v>
      </c>
      <c r="B152" s="8">
        <f>[1]Producción!O152</f>
        <v>67167124</v>
      </c>
      <c r="C152" s="14">
        <v>18446525.254632734</v>
      </c>
      <c r="D152" s="15">
        <v>31847351.874271143</v>
      </c>
      <c r="E152" s="14">
        <f t="shared" si="7"/>
        <v>-13400826.619638409</v>
      </c>
      <c r="F152" s="15">
        <v>10294921</v>
      </c>
      <c r="G152" s="15">
        <v>8766513</v>
      </c>
      <c r="H152" s="14">
        <v>241797.97476754338</v>
      </c>
      <c r="I152" s="15">
        <v>19303231.974767543</v>
      </c>
      <c r="J152" s="15">
        <v>8734804.5033875275</v>
      </c>
      <c r="K152" s="15">
        <f t="shared" si="6"/>
        <v>52529914.141483337</v>
      </c>
      <c r="L15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Demanda Agregada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2025-12-04T21:10:24Z</dcterms:created>
  <dcterms:modified xsi:type="dcterms:W3CDTF">2025-12-04T21:10:51Z</dcterms:modified>
</cp:coreProperties>
</file>